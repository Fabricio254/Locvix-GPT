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 firstSheet="7" activeTab="12"/>
  </bookViews>
  <sheets>
    <sheet name="ATRASADOS" sheetId="23" r:id="rId1"/>
    <sheet name="01. JANEIRO" sheetId="25" r:id="rId2"/>
    <sheet name="02. FEVEREIRO" sheetId="13" r:id="rId3"/>
    <sheet name="03. MARCO" sheetId="14" r:id="rId4"/>
    <sheet name="04. ABRIL" sheetId="15" r:id="rId5"/>
    <sheet name="05. MAIO" sheetId="16" r:id="rId6"/>
    <sheet name="06. JUNHO" sheetId="17" r:id="rId7"/>
    <sheet name="07. JULHO" sheetId="26" r:id="rId8"/>
    <sheet name="08. AGOSTO" sheetId="27" r:id="rId9"/>
    <sheet name="09. SETEMBRO" sheetId="28" r:id="rId10"/>
    <sheet name="10. OUTUBRO" sheetId="29" r:id="rId11"/>
    <sheet name="10. NOVEMBRO" sheetId="30" r:id="rId12"/>
    <sheet name="12. DEZEMBRO" sheetId="31" r:id="rId13"/>
    <sheet name="Planilha1" sheetId="19" r:id="rId14"/>
  </sheets>
  <definedNames>
    <definedName name="_xlnm.Print_Area" localSheetId="1">'01. JANEIRO'!$A$1:$Q$34</definedName>
    <definedName name="_xlnm.Print_Area" localSheetId="2">'02. FEVEREIRO'!$A$1:$Q$26</definedName>
    <definedName name="_xlnm.Print_Area" localSheetId="3">'03. MARCO'!$A$1:$Q$35</definedName>
    <definedName name="_xlnm.Print_Area" localSheetId="4">'04. ABRIL'!$A$1:$Q$32</definedName>
    <definedName name="_xlnm.Print_Area" localSheetId="5">'05. MAIO'!$A$1:$Q$37</definedName>
    <definedName name="_xlnm.Print_Area" localSheetId="6">'06. JUNHO'!$A$1:$Q$35</definedName>
    <definedName name="_xlnm.Print_Area" localSheetId="7">'07. JULHO'!$A$1:$Q$26</definedName>
    <definedName name="_xlnm.Print_Area" localSheetId="8">'08. AGOSTO'!$A$1:$Q$35</definedName>
    <definedName name="_xlnm.Print_Area" localSheetId="9">'09. SETEMBRO'!$A$1:$Q$33</definedName>
    <definedName name="_xlnm.Print_Area" localSheetId="11">'10. NOVEMBRO'!$A$1:$Q$44</definedName>
    <definedName name="_xlnm.Print_Area" localSheetId="10">'10. OUTUBRO'!$A$1:$Q$40</definedName>
    <definedName name="_xlnm.Print_Area" localSheetId="12">'12. DEZEMBRO'!$A$1:$Q$27</definedName>
    <definedName name="_xlnm.Print_Area" localSheetId="0">ATRASADOS!$A$1:$Q$37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<sst xmlns="http://schemas.openxmlformats.org/spreadsheetml/2006/main" count="1595" uniqueCount="375">
  <si>
    <t>ATRASADOS/2024</t>
  </si>
  <si>
    <t>TOTAL DE RECEBIMENTOS SIMPLES</t>
  </si>
  <si>
    <t>ATRASO</t>
  </si>
  <si>
    <t>SICREDI</t>
  </si>
  <si>
    <t>SICOOB</t>
  </si>
  <si>
    <t>SANTANDER</t>
  </si>
  <si>
    <t>BRADESCO</t>
  </si>
  <si>
    <t>ITAU</t>
  </si>
  <si>
    <t>TOTAL DE RECEBIMENTOS DESCONTADOS</t>
  </si>
  <si>
    <t>DESCONTADO</t>
  </si>
  <si>
    <t>SIMPLES</t>
  </si>
  <si>
    <t>TOTAL DE RECEBIMENTOS EM ATRASO</t>
  </si>
  <si>
    <t>DATA</t>
  </si>
  <si>
    <t>CLIENTE</t>
  </si>
  <si>
    <t>FORMA</t>
  </si>
  <si>
    <t>TIPO</t>
  </si>
  <si>
    <t>SITUAÇÃO</t>
  </si>
  <si>
    <t>ATRASADO</t>
  </si>
  <si>
    <t>MONTO INDUSTRIAL</t>
  </si>
  <si>
    <t>BOLETO</t>
  </si>
  <si>
    <t>NF 001155</t>
  </si>
  <si>
    <t>A VENCER</t>
  </si>
  <si>
    <t>NF 001152</t>
  </si>
  <si>
    <t>NF 001154</t>
  </si>
  <si>
    <t>JAQUELINE SILVA (FENIX)</t>
  </si>
  <si>
    <t>NF 01149</t>
  </si>
  <si>
    <t>RO 01149-06</t>
  </si>
  <si>
    <t>JAQUELINE SILVA NASCIMENTO GRECHI - FENIX TRANSPORTES</t>
  </si>
  <si>
    <t>RE 001158006</t>
  </si>
  <si>
    <t>NF 001158</t>
  </si>
  <si>
    <t>RE 001169-06</t>
  </si>
  <si>
    <t>NF 001169</t>
  </si>
  <si>
    <t>PRE METAL REFORMAS</t>
  </si>
  <si>
    <t>RE 1149-05</t>
  </si>
  <si>
    <t>NOVEMBRO/2024</t>
  </si>
  <si>
    <t>TROPICO ENGENHARIA</t>
  </si>
  <si>
    <t>PAGO</t>
  </si>
  <si>
    <t>TRANSILVA</t>
  </si>
  <si>
    <t>REFRAMAX</t>
  </si>
  <si>
    <t>NF 0040</t>
  </si>
  <si>
    <t>NF 0042</t>
  </si>
  <si>
    <t>NF 0039</t>
  </si>
  <si>
    <t>SAMAUNA</t>
  </si>
  <si>
    <t>RE 1417-12</t>
  </si>
  <si>
    <t>CONSORCIO VIADUTOS</t>
  </si>
  <si>
    <t>NF 0043</t>
  </si>
  <si>
    <t>CONCRELAGOS</t>
  </si>
  <si>
    <t>RE 1415-12</t>
  </si>
  <si>
    <t>METASA</t>
  </si>
  <si>
    <t>DEPOSITO</t>
  </si>
  <si>
    <t>RE 01431</t>
  </si>
  <si>
    <t>THERMOJET DO BRASIL</t>
  </si>
  <si>
    <t>META ENGENHARIA</t>
  </si>
  <si>
    <t>RE 01444-01</t>
  </si>
  <si>
    <t>RE 01443-01</t>
  </si>
  <si>
    <t>JOTA L</t>
  </si>
  <si>
    <t>NF 0045</t>
  </si>
  <si>
    <t>RE 0045-12</t>
  </si>
  <si>
    <t>VIANA LOG</t>
  </si>
  <si>
    <t>NF 0048</t>
  </si>
  <si>
    <t>NF 0054</t>
  </si>
  <si>
    <t>MULTILIFT (BRUNO A VISTA)</t>
  </si>
  <si>
    <t>FORMATO COBERTURAS</t>
  </si>
  <si>
    <t>RE 0016-25</t>
  </si>
  <si>
    <t>NF 0055</t>
  </si>
  <si>
    <t>RE 0017-25</t>
  </si>
  <si>
    <t>SEACREST PETROLEO - 23/9</t>
  </si>
  <si>
    <t>RE 001189-08</t>
  </si>
  <si>
    <t>SEACREST PETROLEO - JUROS 1 SERVICO</t>
  </si>
  <si>
    <t>JUROS</t>
  </si>
  <si>
    <t>SEACREST 15-10</t>
  </si>
  <si>
    <t>RE 001190-08</t>
  </si>
  <si>
    <t>SEACREST PETROLEO - 24/10</t>
  </si>
  <si>
    <t>RE 01210-09</t>
  </si>
  <si>
    <t>FEVEREIRO/2024</t>
  </si>
  <si>
    <t>CRP SERVICE (GJ)</t>
  </si>
  <si>
    <t>RE 004-02</t>
  </si>
  <si>
    <t>NF 056</t>
  </si>
  <si>
    <t>NF 057</t>
  </si>
  <si>
    <t>NF 060</t>
  </si>
  <si>
    <t>WESLEY DIAS DO NASCIMENTO (A VISTA) (GJ)</t>
  </si>
  <si>
    <t>WESLEY DIAS DO NASCIMENTO (A VISTA)</t>
  </si>
  <si>
    <t>RE 0018-02</t>
  </si>
  <si>
    <t>REDE DE MONTAGEM (GJ)</t>
  </si>
  <si>
    <t>RE 003-02</t>
  </si>
  <si>
    <t>RE 001-02</t>
  </si>
  <si>
    <t>RE 002-02</t>
  </si>
  <si>
    <t>NF 02</t>
  </si>
  <si>
    <t>NF 03</t>
  </si>
  <si>
    <t>NF 01</t>
  </si>
  <si>
    <t>RE 0001-25</t>
  </si>
  <si>
    <t>FORMATTO COBERTURAS</t>
  </si>
  <si>
    <t>INDUSTRIA DE PRE MOLDADOS RAMPINELI</t>
  </si>
  <si>
    <t>NF 0061</t>
  </si>
  <si>
    <t>MARÇO/2024</t>
  </si>
  <si>
    <t>RV FASE III (GJ)</t>
  </si>
  <si>
    <t>NF 004</t>
  </si>
  <si>
    <t>JAN DE NULL (GJ)</t>
  </si>
  <si>
    <t>RE 005-02</t>
  </si>
  <si>
    <t>RE 0019-02</t>
  </si>
  <si>
    <t>RE 0025-25</t>
  </si>
  <si>
    <t>MANTERFLEX</t>
  </si>
  <si>
    <t>RE 0020-02</t>
  </si>
  <si>
    <t>CRP INDUSTRIAL (GJ)</t>
  </si>
  <si>
    <t>RE 007-03</t>
  </si>
  <si>
    <t>NF 0062</t>
  </si>
  <si>
    <t>NF 0063</t>
  </si>
  <si>
    <t>MANTERFLEX MANGUEIRAS</t>
  </si>
  <si>
    <t>RE 0022-03</t>
  </si>
  <si>
    <t>RE 0024-02</t>
  </si>
  <si>
    <t>FC SERVICOS</t>
  </si>
  <si>
    <t>ESTEL (GJ)</t>
  </si>
  <si>
    <t>RE 005-03</t>
  </si>
  <si>
    <t>ESTEL (GJ) RETROESCAVADEIRA</t>
  </si>
  <si>
    <t>REDE (GJ)</t>
  </si>
  <si>
    <t>NF 008</t>
  </si>
  <si>
    <t>NF 009</t>
  </si>
  <si>
    <t>NF 010</t>
  </si>
  <si>
    <t>RE 008-03</t>
  </si>
  <si>
    <t>RE 009-03</t>
  </si>
  <si>
    <t>RE 010-03</t>
  </si>
  <si>
    <t>RE 0018-03</t>
  </si>
  <si>
    <t>RE 021-03</t>
  </si>
  <si>
    <t>ABRIL/2024</t>
  </si>
  <si>
    <t>VIANA LOG LTDA</t>
  </si>
  <si>
    <t>NF 0066</t>
  </si>
  <si>
    <t>NF 0022</t>
  </si>
  <si>
    <t>RE 0019-04</t>
  </si>
  <si>
    <t>NF 0021</t>
  </si>
  <si>
    <t>RE 0020-04</t>
  </si>
  <si>
    <t>NF 0023</t>
  </si>
  <si>
    <t>RE 0021-04</t>
  </si>
  <si>
    <t>NF 0065</t>
  </si>
  <si>
    <t>NF 0018</t>
  </si>
  <si>
    <t>SOLDAVIX</t>
  </si>
  <si>
    <t>RE 004-04</t>
  </si>
  <si>
    <t>DTA</t>
  </si>
  <si>
    <t>NF 0064</t>
  </si>
  <si>
    <t>RE 0064-03</t>
  </si>
  <si>
    <t>REDE DE MONTAGENS (GJ)</t>
  </si>
  <si>
    <t>NF 0027</t>
  </si>
  <si>
    <t>RE 0024-04</t>
  </si>
  <si>
    <t>NF 0028</t>
  </si>
  <si>
    <t>RE 0023-04</t>
  </si>
  <si>
    <t>NF 0031</t>
  </si>
  <si>
    <t>RE 0022-04</t>
  </si>
  <si>
    <t>RIP SERVICOS (GJ)</t>
  </si>
  <si>
    <t>NF 0017</t>
  </si>
  <si>
    <t>RE 0033-04</t>
  </si>
  <si>
    <t>CRP SERVICE</t>
  </si>
  <si>
    <t>RE 0025-04</t>
  </si>
  <si>
    <t>MAIO/2024</t>
  </si>
  <si>
    <t>CONTRACTOR ENGENHARIA</t>
  </si>
  <si>
    <t>NF 0025</t>
  </si>
  <si>
    <t>RV FASE (GJ)</t>
  </si>
  <si>
    <t>NF 033</t>
  </si>
  <si>
    <t>RIP (GJ)</t>
  </si>
  <si>
    <t>NF 0032</t>
  </si>
  <si>
    <t>META</t>
  </si>
  <si>
    <t>RE 035-04</t>
  </si>
  <si>
    <t>CAMORIM SERVICOS MARITIMOS</t>
  </si>
  <si>
    <t>NF 039</t>
  </si>
  <si>
    <t>RE 039-05</t>
  </si>
  <si>
    <t>NF 037</t>
  </si>
  <si>
    <t>RE 037-05</t>
  </si>
  <si>
    <t>NF 038</t>
  </si>
  <si>
    <t>RE 038-05</t>
  </si>
  <si>
    <t>RE 036004</t>
  </si>
  <si>
    <t>NF 0067</t>
  </si>
  <si>
    <t>ROLUMAC</t>
  </si>
  <si>
    <t>A VISTA</t>
  </si>
  <si>
    <t>RE 041-05</t>
  </si>
  <si>
    <t>NF 041</t>
  </si>
  <si>
    <t>RE 042-05</t>
  </si>
  <si>
    <t>NF 042</t>
  </si>
  <si>
    <t>NF 043</t>
  </si>
  <si>
    <t>SOTECPLAST</t>
  </si>
  <si>
    <t>RE 034-04</t>
  </si>
  <si>
    <t>DNS</t>
  </si>
  <si>
    <t>LEOTEC</t>
  </si>
  <si>
    <t>NF 070</t>
  </si>
  <si>
    <t>RE 070-05</t>
  </si>
  <si>
    <t>NF 040</t>
  </si>
  <si>
    <t>JUNHO/2024</t>
  </si>
  <si>
    <t>VISULOG LOGISTICA</t>
  </si>
  <si>
    <t>NF 071</t>
  </si>
  <si>
    <t>NF 036</t>
  </si>
  <si>
    <t>RE 036-05</t>
  </si>
  <si>
    <t>NF 0046</t>
  </si>
  <si>
    <t>RE 04-05</t>
  </si>
  <si>
    <t>FECOMERCIO</t>
  </si>
  <si>
    <t>RE 038-04</t>
  </si>
  <si>
    <t>SS NAVAL</t>
  </si>
  <si>
    <t>RE 0100-06</t>
  </si>
  <si>
    <t>GRANAGRO EXPORTACAO</t>
  </si>
  <si>
    <t>NF 072</t>
  </si>
  <si>
    <t>RE 072-5</t>
  </si>
  <si>
    <t>NF 073</t>
  </si>
  <si>
    <t>NF 069</t>
  </si>
  <si>
    <t>MULTILIFT  (GJ)</t>
  </si>
  <si>
    <t>JV LOCACAO (GJ)</t>
  </si>
  <si>
    <t>0048-06</t>
  </si>
  <si>
    <t>REDE (GJ) G100</t>
  </si>
  <si>
    <t>NF 049</t>
  </si>
  <si>
    <t>RE 049-06</t>
  </si>
  <si>
    <t>REDE (GJ) EMPILHADEIRA</t>
  </si>
  <si>
    <t>NF 050</t>
  </si>
  <si>
    <t>RE 050-06</t>
  </si>
  <si>
    <t>REDE (GJ) G85</t>
  </si>
  <si>
    <t>NF 051</t>
  </si>
  <si>
    <t>REDE (GJ) G86</t>
  </si>
  <si>
    <t>RE 051-06</t>
  </si>
  <si>
    <t>WESLEY DIAS (GJ)</t>
  </si>
  <si>
    <t>RE 1617</t>
  </si>
  <si>
    <t>JULHO/2024</t>
  </si>
  <si>
    <t>MULTILIFT</t>
  </si>
  <si>
    <t>NF 075</t>
  </si>
  <si>
    <t>RE 0126-06</t>
  </si>
  <si>
    <t>NF 052</t>
  </si>
  <si>
    <t>RE 052-06</t>
  </si>
  <si>
    <t>MAMMOET GUINDASTES</t>
  </si>
  <si>
    <t>NF 074</t>
  </si>
  <si>
    <t>NF 077</t>
  </si>
  <si>
    <t>NF 055</t>
  </si>
  <si>
    <t>RE 055-06</t>
  </si>
  <si>
    <t>RE 054-06</t>
  </si>
  <si>
    <t>NF 053</t>
  </si>
  <si>
    <t>RE 053-06</t>
  </si>
  <si>
    <t xml:space="preserve">CEDISA </t>
  </si>
  <si>
    <t>NF 83</t>
  </si>
  <si>
    <t>NF 84</t>
  </si>
  <si>
    <t>SMART EMPREENDIMENTOS</t>
  </si>
  <si>
    <t>RE 077-06</t>
  </si>
  <si>
    <t>AGOSTO/2024</t>
  </si>
  <si>
    <t>CONSORCIO GLOES</t>
  </si>
  <si>
    <t>NF 058</t>
  </si>
  <si>
    <t>RE 0127-07</t>
  </si>
  <si>
    <t>RE 0126-07</t>
  </si>
  <si>
    <t>INDUSTRIA PRE MOLDADOS RAMPINELI</t>
  </si>
  <si>
    <t>1 PARCELA</t>
  </si>
  <si>
    <t>FORTES ENGENHARIA (GJ)</t>
  </si>
  <si>
    <t>NF 059</t>
  </si>
  <si>
    <t>RE 59-07</t>
  </si>
  <si>
    <t>RE 094-07</t>
  </si>
  <si>
    <t>RE 092-07</t>
  </si>
  <si>
    <t>RE 093-07</t>
  </si>
  <si>
    <t>IPE ENGENHARIA</t>
  </si>
  <si>
    <t>NF 086</t>
  </si>
  <si>
    <t>NRD</t>
  </si>
  <si>
    <t>SIDNEY</t>
  </si>
  <si>
    <t>DEPSEEA</t>
  </si>
  <si>
    <t>RE 071-08</t>
  </si>
  <si>
    <t>WEG LINHARES</t>
  </si>
  <si>
    <t>NF 087</t>
  </si>
  <si>
    <t>2 PARCELA</t>
  </si>
  <si>
    <t>CASGRANDE PARTICIPACOES</t>
  </si>
  <si>
    <t>NF 088</t>
  </si>
  <si>
    <t>SETEMBRO/2024</t>
  </si>
  <si>
    <t>BANCO DO BRASIL</t>
  </si>
  <si>
    <t>RE 070-08</t>
  </si>
  <si>
    <t>RE 069-08</t>
  </si>
  <si>
    <t>NF 067</t>
  </si>
  <si>
    <t>RE 067-08</t>
  </si>
  <si>
    <t xml:space="preserve">GLOES (GJ) </t>
  </si>
  <si>
    <t>EXCIM IMPORTACAO</t>
  </si>
  <si>
    <t>NF 090</t>
  </si>
  <si>
    <t>DEEPSEA (GJ)</t>
  </si>
  <si>
    <t>RE 0131-08</t>
  </si>
  <si>
    <t>CASAGRANDE (GJ)</t>
  </si>
  <si>
    <t>DESTAC (GJ)</t>
  </si>
  <si>
    <t>RE 091-08</t>
  </si>
  <si>
    <t>SM CONSTRUCAO</t>
  </si>
  <si>
    <t>RE 0132-08</t>
  </si>
  <si>
    <t>FORTES (GJ)</t>
  </si>
  <si>
    <t>RE 0129-08</t>
  </si>
  <si>
    <t>LOG 101 LOGISTICA (GJ)</t>
  </si>
  <si>
    <t>NOVA GERACAO</t>
  </si>
  <si>
    <t>RE 090-08</t>
  </si>
  <si>
    <t>METALURGICA RPL</t>
  </si>
  <si>
    <t>TECNOGERA</t>
  </si>
  <si>
    <t>RE 013308</t>
  </si>
  <si>
    <t>AURORA EMPREENDIMENTOS (GJ)</t>
  </si>
  <si>
    <t>NF 076</t>
  </si>
  <si>
    <t>RE 0134-09</t>
  </si>
  <si>
    <t>CONSORCIO GLOES (GJ)</t>
  </si>
  <si>
    <t>RE 0151-09</t>
  </si>
  <si>
    <t>NF 080</t>
  </si>
  <si>
    <t>OUTUBRO/2024</t>
  </si>
  <si>
    <t>ESTEL</t>
  </si>
  <si>
    <t>NF 092</t>
  </si>
  <si>
    <t>RE 0150-09</t>
  </si>
  <si>
    <t>DTA (GJ)</t>
  </si>
  <si>
    <t>NF 093</t>
  </si>
  <si>
    <t>RE 0152-09</t>
  </si>
  <si>
    <t>JAN DE NUL (GJ)</t>
  </si>
  <si>
    <t>RE 0133-09</t>
  </si>
  <si>
    <t>NRD GUINDASTES (WESLEY DIAS)</t>
  </si>
  <si>
    <t>UNIMED VITORIA</t>
  </si>
  <si>
    <t>NF 089</t>
  </si>
  <si>
    <t>CASAGRANDE PARTICIPACOES</t>
  </si>
  <si>
    <t>NF 095</t>
  </si>
  <si>
    <t>NF 094</t>
  </si>
  <si>
    <t>RE 0153-09</t>
  </si>
  <si>
    <t>NF 084</t>
  </si>
  <si>
    <t>NF 085</t>
  </si>
  <si>
    <t>RE 0137-09</t>
  </si>
  <si>
    <t>RE 0138-09</t>
  </si>
  <si>
    <t>TRANSPORTADORA MIRASSOL</t>
  </si>
  <si>
    <t>EVANDRO ALVES</t>
  </si>
  <si>
    <t>CASAGRANDE PARTICIPACOES (GJ)</t>
  </si>
  <si>
    <t>HEXACONNECT (GJ)</t>
  </si>
  <si>
    <t>RE 0151-10</t>
  </si>
  <si>
    <t>FLORA NATIVA DO BRASIL (GJ)</t>
  </si>
  <si>
    <t>RE 0157-10</t>
  </si>
  <si>
    <t>GWL VEICULOS</t>
  </si>
  <si>
    <t>RE 0156-10</t>
  </si>
  <si>
    <t>RE 0152-10</t>
  </si>
  <si>
    <t>GLOES BTS</t>
  </si>
  <si>
    <t>RE 0172-10</t>
  </si>
  <si>
    <t>NF 097</t>
  </si>
  <si>
    <t>RE 0163-10</t>
  </si>
  <si>
    <t>RE 0139-10</t>
  </si>
  <si>
    <t>GWL VEICULOS (GJ)</t>
  </si>
  <si>
    <t>NF 099</t>
  </si>
  <si>
    <t>CENTRO EDUCACIONAL CASTELO</t>
  </si>
  <si>
    <t>NF 098</t>
  </si>
  <si>
    <t>CAMPO PARTICIPACOES (GJ)</t>
  </si>
  <si>
    <t>COMERCIAL GUILHERME LTDA (GJ)</t>
  </si>
  <si>
    <t>RE 0171-10</t>
  </si>
  <si>
    <t>NF 103</t>
  </si>
  <si>
    <t>RE 0180-10</t>
  </si>
  <si>
    <t>NF 104</t>
  </si>
  <si>
    <t>RE 0181-10</t>
  </si>
  <si>
    <t>COBRA BRASILSERVICOS (GJ)</t>
  </si>
  <si>
    <t>NF 105</t>
  </si>
  <si>
    <t>NF 112</t>
  </si>
  <si>
    <t>GARCIA METAL</t>
  </si>
  <si>
    <t>NF 109</t>
  </si>
  <si>
    <t>RE 1587-11</t>
  </si>
  <si>
    <t>NF 106</t>
  </si>
  <si>
    <t>RE 0173-11</t>
  </si>
  <si>
    <t>NF 107</t>
  </si>
  <si>
    <t>RE 0170-11</t>
  </si>
  <si>
    <t>NF 108</t>
  </si>
  <si>
    <t>RE 0174-11</t>
  </si>
  <si>
    <t>BL CONSERVAS E ALIMENTOS (GJ)</t>
  </si>
  <si>
    <t>NF 114</t>
  </si>
  <si>
    <t>NF 100</t>
  </si>
  <si>
    <t>RE 157-11</t>
  </si>
  <si>
    <t>COMERCIAL GUILHERME</t>
  </si>
  <si>
    <t>NF 101</t>
  </si>
  <si>
    <t xml:space="preserve">COMERCIAL GUILHERME LTDA </t>
  </si>
  <si>
    <t>RE 0185-11</t>
  </si>
  <si>
    <t>GOOD MONTAGENS</t>
  </si>
  <si>
    <t>RE 1586-11</t>
  </si>
  <si>
    <t>DEZEMBRO/2025</t>
  </si>
  <si>
    <t>CONSTRUTORA VIA FORTE</t>
  </si>
  <si>
    <t>NF 0102</t>
  </si>
  <si>
    <t>COBRA (GJ)</t>
  </si>
  <si>
    <t>NF 118</t>
  </si>
  <si>
    <t>NF 121</t>
  </si>
  <si>
    <t>RE 0211-11</t>
  </si>
  <si>
    <t>NF 122</t>
  </si>
  <si>
    <t>RE 0210-11</t>
  </si>
  <si>
    <t>CONSORCIO GLOGES (GJ)</t>
  </si>
  <si>
    <t>NF 124</t>
  </si>
  <si>
    <t>RE 020-12</t>
  </si>
  <si>
    <t>HEXACONNECT</t>
  </si>
  <si>
    <t>RE 2011-12</t>
  </si>
  <si>
    <t>COBRA BRASIL (GJ)</t>
  </si>
  <si>
    <t>NF 128</t>
  </si>
  <si>
    <t>NF 126</t>
  </si>
  <si>
    <t>RE 0214-12</t>
  </si>
  <si>
    <t>ENSEADA BOULVERAD (GJ)</t>
  </si>
  <si>
    <t>NF 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</si>
</sst>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/m;@"/>
    <numFmt numFmtId="181" formatCode="&quot;R$&quot;\ #,##0.00"/>
  </numFmts>
  <fonts count="4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4"/>
      <name val="Calibri"/>
      <charset val="134"/>
      <scheme val="minor"/>
    </font>
    <font>
      <b/>
      <sz val="10"/>
      <color rgb="FF005BA8"/>
      <name val="Calibri"/>
      <charset val="134"/>
      <scheme val="minor"/>
    </font>
    <font>
      <b/>
      <sz val="10"/>
      <color rgb="FFB9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4" tint="-0.249977111117893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b/>
      <sz val="10"/>
      <color theme="9"/>
      <name val="Calibri"/>
      <charset val="134"/>
      <scheme val="minor"/>
    </font>
    <font>
      <b/>
      <sz val="10"/>
      <color rgb="FF0070C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6" borderId="2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7" borderId="29" applyNumberFormat="0" applyAlignment="0" applyProtection="0">
      <alignment vertical="center"/>
    </xf>
    <xf numFmtId="0" fontId="31" fillId="18" borderId="30" applyNumberFormat="0" applyAlignment="0" applyProtection="0">
      <alignment vertical="center"/>
    </xf>
    <xf numFmtId="0" fontId="32" fillId="18" borderId="29" applyNumberFormat="0" applyAlignment="0" applyProtection="0">
      <alignment vertical="center"/>
    </xf>
    <xf numFmtId="0" fontId="33" fillId="19" borderId="31" applyNumberFormat="0" applyAlignment="0" applyProtection="0">
      <alignment vertical="center"/>
    </xf>
    <xf numFmtId="0" fontId="34" fillId="0" borderId="32" applyNumberFormat="0" applyFill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1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81" fontId="0" fillId="0" borderId="0" xfId="0" applyNumberFormat="1" applyAlignment="1">
      <alignment horizontal="left"/>
    </xf>
    <xf numFmtId="180" fontId="0" fillId="2" borderId="0" xfId="0" applyNumberForma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181" fontId="1" fillId="3" borderId="2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81" fontId="5" fillId="4" borderId="4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181" fontId="7" fillId="6" borderId="6" xfId="0" applyNumberFormat="1" applyFont="1" applyFill="1" applyBorder="1" applyAlignment="1">
      <alignment horizontal="center"/>
    </xf>
    <xf numFmtId="0" fontId="1" fillId="7" borderId="7" xfId="0" applyFont="1" applyFill="1" applyBorder="1" applyAlignment="1">
      <alignment horizontal="left"/>
    </xf>
    <xf numFmtId="0" fontId="1" fillId="7" borderId="6" xfId="0" applyFont="1" applyFill="1" applyBorder="1" applyAlignment="1">
      <alignment horizontal="left"/>
    </xf>
    <xf numFmtId="181" fontId="1" fillId="7" borderId="6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181" fontId="7" fillId="6" borderId="10" xfId="0" applyNumberFormat="1" applyFont="1" applyFill="1" applyBorder="1" applyAlignment="1">
      <alignment horizontal="center"/>
    </xf>
    <xf numFmtId="0" fontId="6" fillId="5" borderId="11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181" fontId="6" fillId="5" borderId="12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81" fontId="6" fillId="5" borderId="14" xfId="0" applyNumberFormat="1" applyFont="1" applyFill="1" applyBorder="1" applyAlignment="1">
      <alignment horizontal="center" vertical="center"/>
    </xf>
    <xf numFmtId="181" fontId="8" fillId="8" borderId="15" xfId="0" applyNumberFormat="1" applyFont="1" applyFill="1" applyBorder="1" applyAlignment="1">
      <alignment horizontal="center" vertical="center"/>
    </xf>
    <xf numFmtId="181" fontId="6" fillId="5" borderId="16" xfId="0" applyNumberFormat="1" applyFont="1" applyFill="1" applyBorder="1" applyAlignment="1">
      <alignment horizontal="center" vertical="center"/>
    </xf>
    <xf numFmtId="181" fontId="8" fillId="8" borderId="17" xfId="0" applyNumberFormat="1" applyFont="1" applyFill="1" applyBorder="1" applyAlignment="1">
      <alignment horizontal="center" vertical="center"/>
    </xf>
    <xf numFmtId="180" fontId="1" fillId="9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181" fontId="9" fillId="8" borderId="6" xfId="0" applyNumberFormat="1" applyFont="1" applyFill="1" applyBorder="1" applyAlignment="1">
      <alignment horizontal="center"/>
    </xf>
    <xf numFmtId="180" fontId="10" fillId="0" borderId="6" xfId="49" applyNumberFormat="1" applyFont="1" applyBorder="1" applyAlignment="1">
      <alignment horizontal="center"/>
    </xf>
    <xf numFmtId="0" fontId="10" fillId="5" borderId="18" xfId="0" applyFont="1" applyFill="1" applyBorder="1" applyAlignment="1">
      <alignment horizontal="left"/>
    </xf>
    <xf numFmtId="0" fontId="10" fillId="2" borderId="6" xfId="49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left"/>
    </xf>
    <xf numFmtId="181" fontId="10" fillId="8" borderId="6" xfId="0" applyNumberFormat="1" applyFont="1" applyFill="1" applyBorder="1" applyAlignment="1">
      <alignment horizontal="center"/>
    </xf>
    <xf numFmtId="0" fontId="10" fillId="2" borderId="18" xfId="0" applyFont="1" applyFill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180" fontId="6" fillId="2" borderId="0" xfId="0" applyNumberFormat="1" applyFont="1" applyFill="1" applyAlignment="1">
      <alignment horizontal="center"/>
    </xf>
    <xf numFmtId="58" fontId="6" fillId="2" borderId="0" xfId="0" applyNumberFormat="1" applyFont="1" applyFill="1" applyAlignment="1">
      <alignment horizontal="left"/>
    </xf>
    <xf numFmtId="58" fontId="6" fillId="2" borderId="0" xfId="0" applyNumberFormat="1" applyFont="1" applyFill="1" applyAlignment="1">
      <alignment horizontal="center"/>
    </xf>
    <xf numFmtId="58" fontId="6" fillId="2" borderId="0" xfId="0" applyNumberFormat="1" applyFont="1" applyFill="1"/>
    <xf numFmtId="181" fontId="6" fillId="5" borderId="6" xfId="0" applyNumberFormat="1" applyFont="1" applyFill="1" applyBorder="1" applyAlignment="1">
      <alignment horizontal="center"/>
    </xf>
    <xf numFmtId="181" fontId="6" fillId="2" borderId="19" xfId="0" applyNumberFormat="1" applyFont="1" applyFill="1" applyBorder="1" applyAlignment="1">
      <alignment horizontal="center"/>
    </xf>
    <xf numFmtId="0" fontId="3" fillId="2" borderId="0" xfId="0" applyFont="1" applyFill="1"/>
    <xf numFmtId="181" fontId="0" fillId="2" borderId="0" xfId="0" applyNumberFormat="1" applyFill="1" applyAlignment="1">
      <alignment horizontal="left"/>
    </xf>
    <xf numFmtId="0" fontId="8" fillId="2" borderId="0" xfId="0" applyFont="1" applyFill="1" applyAlignment="1">
      <alignment horizontal="center"/>
    </xf>
    <xf numFmtId="0" fontId="1" fillId="2" borderId="20" xfId="0" applyFont="1" applyFill="1" applyBorder="1" applyAlignment="1">
      <alignment horizontal="center"/>
    </xf>
    <xf numFmtId="181" fontId="7" fillId="10" borderId="6" xfId="0" applyNumberFormat="1" applyFont="1" applyFill="1" applyBorder="1" applyAlignment="1">
      <alignment horizontal="center"/>
    </xf>
    <xf numFmtId="181" fontId="7" fillId="11" borderId="6" xfId="0" applyNumberFormat="1" applyFont="1" applyFill="1" applyBorder="1" applyAlignment="1">
      <alignment horizontal="center"/>
    </xf>
    <xf numFmtId="181" fontId="7" fillId="12" borderId="18" xfId="0" applyNumberFormat="1" applyFont="1" applyFill="1" applyBorder="1" applyAlignment="1">
      <alignment horizontal="center"/>
    </xf>
    <xf numFmtId="181" fontId="7" fillId="12" borderId="5" xfId="0" applyNumberFormat="1" applyFont="1" applyFill="1" applyBorder="1" applyAlignment="1">
      <alignment horizontal="center"/>
    </xf>
    <xf numFmtId="181" fontId="7" fillId="13" borderId="6" xfId="0" applyNumberFormat="1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 wrapText="1"/>
    </xf>
    <xf numFmtId="181" fontId="7" fillId="10" borderId="10" xfId="0" applyNumberFormat="1" applyFont="1" applyFill="1" applyBorder="1" applyAlignment="1">
      <alignment horizontal="center"/>
    </xf>
    <xf numFmtId="0" fontId="7" fillId="10" borderId="21" xfId="0" applyFont="1" applyFill="1" applyBorder="1" applyAlignment="1">
      <alignment horizontal="center" wrapText="1"/>
    </xf>
    <xf numFmtId="181" fontId="7" fillId="11" borderId="10" xfId="0" applyNumberFormat="1" applyFont="1" applyFill="1" applyBorder="1" applyAlignment="1">
      <alignment horizontal="center"/>
    </xf>
    <xf numFmtId="0" fontId="7" fillId="11" borderId="21" xfId="0" applyFont="1" applyFill="1" applyBorder="1" applyAlignment="1">
      <alignment horizontal="center" wrapText="1"/>
    </xf>
    <xf numFmtId="181" fontId="7" fillId="12" borderId="22" xfId="0" applyNumberFormat="1" applyFont="1" applyFill="1" applyBorder="1" applyAlignment="1">
      <alignment horizontal="center"/>
    </xf>
    <xf numFmtId="0" fontId="7" fillId="12" borderId="21" xfId="0" applyFont="1" applyFill="1" applyBorder="1" applyAlignment="1">
      <alignment horizontal="center" wrapText="1"/>
    </xf>
    <xf numFmtId="181" fontId="7" fillId="13" borderId="10" xfId="0" applyNumberFormat="1" applyFont="1" applyFill="1" applyBorder="1" applyAlignment="1">
      <alignment horizontal="center"/>
    </xf>
    <xf numFmtId="181" fontId="8" fillId="14" borderId="14" xfId="0" applyNumberFormat="1" applyFont="1" applyFill="1" applyBorder="1" applyAlignment="1">
      <alignment horizontal="center" vertical="center"/>
    </xf>
    <xf numFmtId="181" fontId="8" fillId="8" borderId="14" xfId="0" applyNumberFormat="1" applyFont="1" applyFill="1" applyBorder="1" applyAlignment="1">
      <alignment horizontal="center" vertical="center"/>
    </xf>
    <xf numFmtId="181" fontId="8" fillId="14" borderId="23" xfId="0" applyNumberFormat="1" applyFont="1" applyFill="1" applyBorder="1" applyAlignment="1">
      <alignment horizontal="center" vertical="center"/>
    </xf>
    <xf numFmtId="181" fontId="8" fillId="14" borderId="16" xfId="0" applyNumberFormat="1" applyFont="1" applyFill="1" applyBorder="1" applyAlignment="1">
      <alignment horizontal="center" vertical="center"/>
    </xf>
    <xf numFmtId="181" fontId="8" fillId="8" borderId="16" xfId="0" applyNumberFormat="1" applyFont="1" applyFill="1" applyBorder="1" applyAlignment="1">
      <alignment horizontal="center" vertical="center"/>
    </xf>
    <xf numFmtId="181" fontId="8" fillId="14" borderId="24" xfId="0" applyNumberFormat="1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wrapText="1"/>
    </xf>
    <xf numFmtId="181" fontId="10" fillId="14" borderId="6" xfId="0" applyNumberFormat="1" applyFont="1" applyFill="1" applyBorder="1" applyAlignment="1">
      <alignment horizontal="center"/>
    </xf>
    <xf numFmtId="181" fontId="10" fillId="8" borderId="6" xfId="0" applyNumberFormat="1" applyFont="1" applyFill="1" applyBorder="1" applyAlignment="1">
      <alignment horizontal="left"/>
    </xf>
    <xf numFmtId="181" fontId="12" fillId="14" borderId="6" xfId="0" applyNumberFormat="1" applyFont="1" applyFill="1" applyBorder="1" applyAlignment="1">
      <alignment horizontal="left"/>
    </xf>
    <xf numFmtId="181" fontId="10" fillId="14" borderId="6" xfId="0" applyNumberFormat="1" applyFont="1" applyFill="1" applyBorder="1" applyAlignment="1">
      <alignment horizontal="left"/>
    </xf>
    <xf numFmtId="181" fontId="8" fillId="2" borderId="25" xfId="0" applyNumberFormat="1" applyFont="1" applyFill="1" applyBorder="1" applyAlignment="1">
      <alignment horizontal="center"/>
    </xf>
    <xf numFmtId="181" fontId="6" fillId="14" borderId="19" xfId="0" applyNumberFormat="1" applyFont="1" applyFill="1" applyBorder="1" applyAlignment="1">
      <alignment horizontal="center"/>
    </xf>
    <xf numFmtId="181" fontId="6" fillId="14" borderId="25" xfId="0" applyNumberFormat="1" applyFont="1" applyFill="1" applyBorder="1" applyAlignment="1">
      <alignment horizontal="center"/>
    </xf>
    <xf numFmtId="181" fontId="6" fillId="11" borderId="19" xfId="0" applyNumberFormat="1" applyFont="1" applyFill="1" applyBorder="1" applyAlignment="1">
      <alignment horizontal="center"/>
    </xf>
    <xf numFmtId="181" fontId="6" fillId="11" borderId="25" xfId="0" applyNumberFormat="1" applyFont="1" applyFill="1" applyBorder="1" applyAlignment="1">
      <alignment horizontal="center"/>
    </xf>
    <xf numFmtId="181" fontId="6" fillId="15" borderId="25" xfId="0" applyNumberFormat="1" applyFont="1" applyFill="1" applyBorder="1" applyAlignment="1">
      <alignment horizontal="center"/>
    </xf>
    <xf numFmtId="0" fontId="7" fillId="13" borderId="21" xfId="0" applyFont="1" applyFill="1" applyBorder="1" applyAlignment="1">
      <alignment horizontal="center" wrapText="1"/>
    </xf>
    <xf numFmtId="181" fontId="10" fillId="14" borderId="6" xfId="0" applyNumberFormat="1" applyFont="1" applyFill="1" applyBorder="1" applyAlignment="1">
      <alignment horizontal="center" vertical="center"/>
    </xf>
    <xf numFmtId="181" fontId="6" fillId="2" borderId="25" xfId="0" applyNumberFormat="1" applyFont="1" applyFill="1" applyBorder="1" applyAlignment="1">
      <alignment horizontal="center"/>
    </xf>
    <xf numFmtId="0" fontId="12" fillId="5" borderId="18" xfId="0" applyFont="1" applyFill="1" applyBorder="1" applyAlignment="1">
      <alignment horizontal="left"/>
    </xf>
    <xf numFmtId="0" fontId="14" fillId="7" borderId="6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0" fillId="2" borderId="6" xfId="49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181" fontId="12" fillId="8" borderId="6" xfId="0" applyNumberFormat="1" applyFont="1" applyFill="1" applyBorder="1" applyAlignment="1">
      <alignment horizontal="left"/>
    </xf>
    <xf numFmtId="0" fontId="10" fillId="2" borderId="1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/>
    </xf>
    <xf numFmtId="0" fontId="10" fillId="2" borderId="18" xfId="49" applyFont="1" applyFill="1" applyBorder="1" applyAlignment="1">
      <alignment horizontal="center" vertical="center"/>
    </xf>
    <xf numFmtId="181" fontId="12" fillId="8" borderId="6" xfId="0" applyNumberFormat="1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180" fontId="10" fillId="0" borderId="6" xfId="49" applyNumberFormat="1" applyFont="1" applyBorder="1" applyAlignment="1">
      <alignment horizontal="left"/>
    </xf>
    <xf numFmtId="0" fontId="20" fillId="7" borderId="6" xfId="0" applyFont="1" applyFill="1" applyBorder="1" applyAlignment="1">
      <alignment horizontal="center"/>
    </xf>
    <xf numFmtId="181" fontId="21" fillId="8" borderId="6" xfId="0" applyNumberFormat="1" applyFont="1" applyFill="1" applyBorder="1" applyAlignment="1">
      <alignment horizontal="center"/>
    </xf>
    <xf numFmtId="181" fontId="12" fillId="14" borderId="6" xfId="0" applyNumberFormat="1" applyFont="1" applyFill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2" fillId="2" borderId="6" xfId="49" applyFont="1" applyFill="1" applyBorder="1" applyAlignment="1">
      <alignment horizontal="center"/>
    </xf>
    <xf numFmtId="0" fontId="12" fillId="2" borderId="18" xfId="49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/>
    </xf>
    <xf numFmtId="181" fontId="16" fillId="14" borderId="6" xfId="0" applyNumberFormat="1" applyFont="1" applyFill="1" applyBorder="1" applyAlignment="1">
      <alignment horizontal="left"/>
    </xf>
    <xf numFmtId="0" fontId="12" fillId="2" borderId="6" xfId="0" applyFont="1" applyFill="1" applyBorder="1"/>
    <xf numFmtId="0" fontId="12" fillId="2" borderId="6" xfId="0" applyFont="1" applyFill="1" applyBorder="1" applyAlignment="1">
      <alignment horizontal="center"/>
    </xf>
    <xf numFmtId="180" fontId="12" fillId="0" borderId="6" xfId="49" applyNumberFormat="1" applyFont="1" applyBorder="1" applyAlignment="1">
      <alignment horizontal="center"/>
    </xf>
    <xf numFmtId="0" fontId="10" fillId="2" borderId="18" xfId="49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/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tableStyles count="0" defaultTableStyle="TableStyleMedium2" defaultPivotStyle="PivotStyleLight16"/>
  <colors>
    <mruColors>
      <color rgb="0085F276"/>
      <color rgb="009FF593"/>
      <color rgb="001670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2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C23" sqref="C23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0.4444444444444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0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139976.74</v>
      </c>
      <c r="E3" s="17"/>
      <c r="F3" s="18">
        <f>D3+D4</f>
        <v>304331.05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164354.31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G36</f>
        <v>0</v>
      </c>
      <c r="H5" s="32">
        <f t="shared" si="0"/>
        <v>16878.32</v>
      </c>
      <c r="I5" s="73">
        <f t="shared" si="0"/>
        <v>139976.74</v>
      </c>
      <c r="J5" s="32">
        <f t="shared" si="0"/>
        <v>48500.52</v>
      </c>
      <c r="K5" s="73">
        <f t="shared" si="0"/>
        <v>0</v>
      </c>
      <c r="L5" s="32">
        <f t="shared" si="0"/>
        <v>0</v>
      </c>
      <c r="M5" s="73">
        <f t="shared" si="0"/>
        <v>0</v>
      </c>
      <c r="N5" s="74">
        <f t="shared" si="0"/>
        <v>98975.47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45477</v>
      </c>
      <c r="C8" s="111" t="s">
        <v>18</v>
      </c>
      <c r="D8" s="41" t="s">
        <v>19</v>
      </c>
      <c r="E8" s="42" t="s">
        <v>20</v>
      </c>
      <c r="F8" s="106" t="s">
        <v>21</v>
      </c>
      <c r="G8" s="44"/>
      <c r="H8" s="45"/>
      <c r="I8" s="80">
        <v>23508.39</v>
      </c>
      <c r="J8" s="38"/>
      <c r="K8" s="83"/>
      <c r="L8" s="38"/>
      <c r="M8" s="80"/>
      <c r="N8" s="81"/>
      <c r="O8" s="82"/>
      <c r="P8" s="81"/>
      <c r="Q8" s="91"/>
    </row>
    <row r="9" spans="2:17">
      <c r="B9" s="39">
        <v>45477</v>
      </c>
      <c r="C9" s="111" t="s">
        <v>18</v>
      </c>
      <c r="D9" s="41" t="s">
        <v>19</v>
      </c>
      <c r="E9" s="42" t="s">
        <v>22</v>
      </c>
      <c r="F9" s="106" t="s">
        <v>21</v>
      </c>
      <c r="G9" s="44"/>
      <c r="H9" s="45"/>
      <c r="I9" s="80">
        <v>34117.25</v>
      </c>
      <c r="J9" s="38"/>
      <c r="K9" s="83"/>
      <c r="L9" s="38"/>
      <c r="M9" s="80"/>
      <c r="N9" s="81"/>
      <c r="O9" s="82"/>
      <c r="P9" s="81"/>
      <c r="Q9" s="91"/>
    </row>
    <row r="10" spans="2:17">
      <c r="B10" s="39">
        <v>45477</v>
      </c>
      <c r="C10" s="111" t="s">
        <v>18</v>
      </c>
      <c r="D10" s="41" t="s">
        <v>19</v>
      </c>
      <c r="E10" s="42" t="s">
        <v>23</v>
      </c>
      <c r="F10" s="106" t="s">
        <v>21</v>
      </c>
      <c r="G10" s="44"/>
      <c r="H10" s="45"/>
      <c r="I10" s="80">
        <v>38942.2</v>
      </c>
      <c r="J10" s="38"/>
      <c r="K10" s="83"/>
      <c r="L10" s="38"/>
      <c r="M10" s="80"/>
      <c r="N10" s="81"/>
      <c r="O10" s="82"/>
      <c r="P10" s="81"/>
      <c r="Q10" s="91"/>
    </row>
    <row r="11" spans="2:17">
      <c r="B11" s="39">
        <v>45496</v>
      </c>
      <c r="C11" s="111" t="s">
        <v>24</v>
      </c>
      <c r="D11" s="41" t="s">
        <v>19</v>
      </c>
      <c r="E11" s="42" t="s">
        <v>25</v>
      </c>
      <c r="F11" s="99" t="s">
        <v>21</v>
      </c>
      <c r="G11" s="44"/>
      <c r="H11" s="45"/>
      <c r="I11" s="80"/>
      <c r="J11" s="38">
        <v>2425.03</v>
      </c>
      <c r="K11" s="83"/>
      <c r="L11" s="38"/>
      <c r="M11" s="80"/>
      <c r="N11" s="81"/>
      <c r="O11" s="82"/>
      <c r="P11" s="81"/>
      <c r="Q11" s="91"/>
    </row>
    <row r="12" spans="2:17">
      <c r="B12" s="39">
        <v>45496</v>
      </c>
      <c r="C12" s="111" t="s">
        <v>24</v>
      </c>
      <c r="D12" s="41" t="s">
        <v>19</v>
      </c>
      <c r="E12" s="42" t="s">
        <v>26</v>
      </c>
      <c r="F12" s="99" t="s">
        <v>21</v>
      </c>
      <c r="G12" s="44"/>
      <c r="H12" s="45"/>
      <c r="I12" s="80"/>
      <c r="J12" s="38">
        <v>46075.49</v>
      </c>
      <c r="K12" s="83"/>
      <c r="L12" s="38"/>
      <c r="M12" s="80"/>
      <c r="N12" s="81"/>
      <c r="O12" s="82"/>
      <c r="P12" s="81"/>
      <c r="Q12" s="91"/>
    </row>
    <row r="13" spans="2:17">
      <c r="B13" s="39">
        <v>45505</v>
      </c>
      <c r="C13" s="111" t="s">
        <v>27</v>
      </c>
      <c r="D13" s="41" t="s">
        <v>19</v>
      </c>
      <c r="E13" s="42" t="s">
        <v>28</v>
      </c>
      <c r="F13" s="106" t="s">
        <v>21</v>
      </c>
      <c r="G13" s="44"/>
      <c r="H13" s="45">
        <v>14634.18</v>
      </c>
      <c r="I13" s="80"/>
      <c r="J13" s="38"/>
      <c r="K13" s="83"/>
      <c r="L13" s="38"/>
      <c r="M13" s="80"/>
      <c r="N13" s="81"/>
      <c r="O13" s="82"/>
      <c r="P13" s="81"/>
      <c r="Q13" s="91"/>
    </row>
    <row r="14" spans="2:17">
      <c r="B14" s="39">
        <v>45505</v>
      </c>
      <c r="C14" s="111" t="s">
        <v>27</v>
      </c>
      <c r="D14" s="41" t="s">
        <v>19</v>
      </c>
      <c r="E14" s="42" t="s">
        <v>29</v>
      </c>
      <c r="F14" s="106" t="s">
        <v>21</v>
      </c>
      <c r="G14" s="44"/>
      <c r="H14" s="45"/>
      <c r="I14" s="80">
        <v>770.22</v>
      </c>
      <c r="J14" s="38"/>
      <c r="K14" s="83"/>
      <c r="L14" s="38"/>
      <c r="M14" s="80"/>
      <c r="N14" s="81"/>
      <c r="O14" s="82"/>
      <c r="P14" s="81"/>
      <c r="Q14" s="91"/>
    </row>
    <row r="15" spans="2:17">
      <c r="B15" s="39">
        <v>45523</v>
      </c>
      <c r="C15" s="111" t="s">
        <v>27</v>
      </c>
      <c r="D15" s="41" t="s">
        <v>19</v>
      </c>
      <c r="E15" s="42" t="s">
        <v>30</v>
      </c>
      <c r="F15" s="99" t="s">
        <v>21</v>
      </c>
      <c r="G15" s="44"/>
      <c r="H15" s="45"/>
      <c r="I15" s="80">
        <v>42638.68</v>
      </c>
      <c r="J15" s="38"/>
      <c r="K15" s="83"/>
      <c r="L15" s="38"/>
      <c r="M15" s="80"/>
      <c r="N15" s="81"/>
      <c r="O15" s="82"/>
      <c r="P15" s="81"/>
      <c r="Q15" s="91"/>
    </row>
    <row r="16" spans="2:17">
      <c r="B16" s="39">
        <v>45523</v>
      </c>
      <c r="C16" s="111" t="s">
        <v>27</v>
      </c>
      <c r="D16" s="41" t="s">
        <v>19</v>
      </c>
      <c r="E16" s="42" t="s">
        <v>31</v>
      </c>
      <c r="F16" s="99" t="s">
        <v>21</v>
      </c>
      <c r="G16" s="44"/>
      <c r="H16" s="45">
        <v>2244.14</v>
      </c>
      <c r="I16" s="80"/>
      <c r="J16" s="38"/>
      <c r="K16" s="83"/>
      <c r="L16" s="38"/>
      <c r="M16" s="80"/>
      <c r="N16" s="81"/>
      <c r="O16" s="82"/>
      <c r="P16" s="81"/>
      <c r="Q16" s="91"/>
    </row>
    <row r="17" spans="2:17">
      <c r="B17" s="118">
        <v>45540</v>
      </c>
      <c r="C17" s="111" t="s">
        <v>32</v>
      </c>
      <c r="D17" s="41" t="s">
        <v>19</v>
      </c>
      <c r="E17" s="104" t="s">
        <v>33</v>
      </c>
      <c r="F17" s="99" t="s">
        <v>21</v>
      </c>
      <c r="G17" s="44"/>
      <c r="H17" s="97"/>
      <c r="I17" s="80"/>
      <c r="J17" s="38"/>
      <c r="K17" s="80"/>
      <c r="L17" s="38"/>
      <c r="M17" s="80"/>
      <c r="N17" s="81">
        <v>51265.04</v>
      </c>
      <c r="O17" s="82"/>
      <c r="P17" s="81"/>
      <c r="Q17" s="91"/>
    </row>
    <row r="18" spans="2:17">
      <c r="B18" s="39">
        <v>45565</v>
      </c>
      <c r="C18" s="47" t="s">
        <v>32</v>
      </c>
      <c r="D18" s="41" t="s">
        <v>19</v>
      </c>
      <c r="E18" s="42" t="s">
        <v>31</v>
      </c>
      <c r="F18" s="99" t="s">
        <v>21</v>
      </c>
      <c r="G18" s="44"/>
      <c r="H18" s="45"/>
      <c r="I18" s="80"/>
      <c r="J18" s="38"/>
      <c r="K18" s="83"/>
      <c r="L18" s="38"/>
      <c r="M18" s="80"/>
      <c r="N18" s="81">
        <v>2385.52</v>
      </c>
      <c r="O18" s="82"/>
      <c r="P18" s="81"/>
      <c r="Q18" s="91"/>
    </row>
    <row r="19" spans="2:17">
      <c r="B19" s="39">
        <v>45565</v>
      </c>
      <c r="C19" s="47" t="s">
        <v>32</v>
      </c>
      <c r="D19" s="41" t="s">
        <v>19</v>
      </c>
      <c r="E19" s="42" t="s">
        <v>30</v>
      </c>
      <c r="F19" s="99" t="s">
        <v>21</v>
      </c>
      <c r="G19" s="44"/>
      <c r="H19" s="45"/>
      <c r="I19" s="80"/>
      <c r="J19" s="38"/>
      <c r="K19" s="83"/>
      <c r="L19" s="38"/>
      <c r="M19" s="80"/>
      <c r="N19" s="81">
        <v>45324.91</v>
      </c>
      <c r="O19" s="82"/>
      <c r="P19" s="81"/>
      <c r="Q19" s="91"/>
    </row>
    <row r="20" spans="2:17">
      <c r="B20" s="39"/>
      <c r="C20" s="47"/>
      <c r="D20" s="119"/>
      <c r="E20" s="102"/>
      <c r="F20" s="49"/>
      <c r="G20" s="103"/>
      <c r="H20" s="45"/>
      <c r="I20" s="80"/>
      <c r="J20" s="38"/>
      <c r="K20" s="83"/>
      <c r="L20" s="38"/>
      <c r="M20" s="80"/>
      <c r="N20" s="81"/>
      <c r="O20" s="82"/>
      <c r="P20" s="81"/>
      <c r="Q20" s="91"/>
    </row>
    <row r="21" spans="2:17">
      <c r="B21" s="39"/>
      <c r="C21" s="47"/>
      <c r="D21" s="119"/>
      <c r="E21" s="102"/>
      <c r="F21" s="49"/>
      <c r="G21" s="103"/>
      <c r="H21" s="45"/>
      <c r="I21" s="80"/>
      <c r="J21" s="38"/>
      <c r="K21" s="83"/>
      <c r="L21" s="38"/>
      <c r="M21" s="80"/>
      <c r="N21" s="81"/>
      <c r="O21" s="82"/>
      <c r="P21" s="81"/>
      <c r="Q21" s="91"/>
    </row>
    <row r="22" spans="2:17">
      <c r="B22" s="39"/>
      <c r="C22" s="47"/>
      <c r="D22" s="41"/>
      <c r="E22" s="96"/>
      <c r="F22" s="49"/>
      <c r="G22" s="44"/>
      <c r="H22" s="100"/>
      <c r="I22" s="80"/>
      <c r="J22" s="38"/>
      <c r="K22" s="80"/>
      <c r="L22" s="38"/>
      <c r="M22" s="80"/>
      <c r="N22" s="81"/>
      <c r="O22" s="82"/>
      <c r="P22" s="81"/>
      <c r="Q22" s="91"/>
    </row>
    <row r="23" spans="2:17">
      <c r="B23" s="39"/>
      <c r="C23" s="47"/>
      <c r="D23" s="41"/>
      <c r="E23" s="120"/>
      <c r="F23" s="49"/>
      <c r="G23" s="44"/>
      <c r="H23" s="45"/>
      <c r="I23" s="80"/>
      <c r="J23" s="38"/>
      <c r="K23" s="80"/>
      <c r="L23" s="38"/>
      <c r="M23" s="80"/>
      <c r="N23" s="81"/>
      <c r="O23" s="82"/>
      <c r="P23" s="81"/>
      <c r="Q23" s="91"/>
    </row>
    <row r="24" spans="2:17">
      <c r="B24" s="39"/>
      <c r="C24" s="47"/>
      <c r="D24" s="41"/>
      <c r="E24" s="96"/>
      <c r="F24" s="49"/>
      <c r="G24" s="44"/>
      <c r="H24" s="45"/>
      <c r="I24" s="80"/>
      <c r="J24" s="38"/>
      <c r="K24" s="83"/>
      <c r="L24" s="38"/>
      <c r="M24" s="80"/>
      <c r="N24" s="81"/>
      <c r="O24" s="82"/>
      <c r="P24" s="81"/>
      <c r="Q24" s="91"/>
    </row>
    <row r="25" spans="2:17">
      <c r="B25" s="39"/>
      <c r="C25" s="47"/>
      <c r="D25" s="119"/>
      <c r="E25" s="101"/>
      <c r="F25" s="49"/>
      <c r="G25" s="44"/>
      <c r="H25" s="45"/>
      <c r="I25" s="80"/>
      <c r="J25" s="38"/>
      <c r="K25" s="83"/>
      <c r="L25" s="38"/>
      <c r="M25" s="80"/>
      <c r="N25" s="81"/>
      <c r="O25" s="82"/>
      <c r="P25" s="81"/>
      <c r="Q25" s="91"/>
    </row>
    <row r="26" spans="2:17">
      <c r="B26" s="39"/>
      <c r="C26" s="47"/>
      <c r="D26" s="119"/>
      <c r="E26" s="102"/>
      <c r="F26" s="49"/>
      <c r="G26" s="103"/>
      <c r="H26" s="45"/>
      <c r="I26" s="80"/>
      <c r="J26" s="38"/>
      <c r="K26" s="83"/>
      <c r="L26" s="38"/>
      <c r="M26" s="80"/>
      <c r="N26" s="81"/>
      <c r="O26" s="82"/>
      <c r="P26" s="81"/>
      <c r="Q26" s="91"/>
    </row>
    <row r="27" spans="2:17">
      <c r="B27" s="39"/>
      <c r="C27" s="47"/>
      <c r="D27" s="41"/>
      <c r="E27" s="96"/>
      <c r="F27" s="49"/>
      <c r="G27" s="44"/>
      <c r="H27" s="45"/>
      <c r="I27" s="80"/>
      <c r="J27" s="38"/>
      <c r="K27" s="83"/>
      <c r="L27" s="38"/>
      <c r="M27" s="80"/>
      <c r="N27" s="81"/>
      <c r="O27" s="82"/>
      <c r="P27" s="81"/>
      <c r="Q27" s="91"/>
    </row>
    <row r="28" spans="2:17">
      <c r="B28" s="39"/>
      <c r="C28" s="47"/>
      <c r="D28" s="41"/>
      <c r="E28" s="96"/>
      <c r="F28" s="49"/>
      <c r="G28" s="44"/>
      <c r="H28" s="100"/>
      <c r="I28" s="80"/>
      <c r="J28" s="38"/>
      <c r="K28" s="80"/>
      <c r="L28" s="38"/>
      <c r="M28" s="80"/>
      <c r="N28" s="81"/>
      <c r="O28" s="80"/>
      <c r="P28" s="81"/>
      <c r="Q28" s="91"/>
    </row>
    <row r="29" spans="2:17">
      <c r="B29" s="39"/>
      <c r="C29" s="47"/>
      <c r="D29" s="41"/>
      <c r="E29" s="96"/>
      <c r="F29" s="49"/>
      <c r="G29" s="44"/>
      <c r="H29" s="100"/>
      <c r="I29" s="80"/>
      <c r="J29" s="38"/>
      <c r="K29" s="80"/>
      <c r="L29" s="38"/>
      <c r="M29" s="80"/>
      <c r="N29" s="81"/>
      <c r="O29" s="80"/>
      <c r="P29" s="81"/>
      <c r="Q29" s="91"/>
    </row>
    <row r="30" spans="2:17">
      <c r="B30" s="39"/>
      <c r="C30" s="47"/>
      <c r="D30" s="41"/>
      <c r="E30" s="96"/>
      <c r="F30" s="49"/>
      <c r="G30" s="44"/>
      <c r="H30" s="100"/>
      <c r="I30" s="80"/>
      <c r="J30" s="38"/>
      <c r="K30" s="80"/>
      <c r="L30" s="38"/>
      <c r="M30" s="80"/>
      <c r="N30" s="81"/>
      <c r="O30" s="80"/>
      <c r="P30" s="81"/>
      <c r="Q30" s="91"/>
    </row>
    <row r="31" spans="2:17">
      <c r="B31" s="39"/>
      <c r="C31" s="47"/>
      <c r="D31" s="41"/>
      <c r="E31" s="96"/>
      <c r="F31" s="49"/>
      <c r="G31" s="44"/>
      <c r="H31" s="45"/>
      <c r="I31" s="80"/>
      <c r="J31" s="38"/>
      <c r="K31" s="80"/>
      <c r="L31" s="38"/>
      <c r="M31" s="80"/>
      <c r="N31" s="45"/>
      <c r="O31" s="82"/>
      <c r="P31" s="81"/>
      <c r="Q31" s="91"/>
    </row>
    <row r="32" spans="2:17">
      <c r="B32" s="39"/>
      <c r="C32" s="47"/>
      <c r="D32" s="41"/>
      <c r="E32" s="96"/>
      <c r="F32" s="49"/>
      <c r="G32" s="44"/>
      <c r="H32" s="45"/>
      <c r="I32" s="80"/>
      <c r="J32" s="38"/>
      <c r="K32" s="80"/>
      <c r="L32" s="38"/>
      <c r="M32" s="80"/>
      <c r="N32" s="38"/>
      <c r="O32" s="82"/>
      <c r="P32" s="81"/>
      <c r="Q32" s="80"/>
    </row>
    <row r="33" spans="2:17">
      <c r="B33" s="39"/>
      <c r="C33" s="47"/>
      <c r="D33" s="41"/>
      <c r="E33" s="102"/>
      <c r="F33" s="49"/>
      <c r="G33" s="103"/>
      <c r="H33" s="81"/>
      <c r="I33" s="80"/>
      <c r="J33" s="38"/>
      <c r="K33" s="80"/>
      <c r="L33" s="38"/>
      <c r="M33" s="80"/>
      <c r="N33" s="81"/>
      <c r="O33" s="82"/>
      <c r="P33" s="81"/>
      <c r="Q33" s="91"/>
    </row>
    <row r="34" spans="2:17">
      <c r="B34" s="39"/>
      <c r="C34" s="47"/>
      <c r="D34" s="41"/>
      <c r="E34" s="121"/>
      <c r="F34" s="49"/>
      <c r="G34" s="44"/>
      <c r="H34" s="100"/>
      <c r="I34" s="83"/>
      <c r="J34" s="38"/>
      <c r="K34" s="80"/>
      <c r="L34" s="38"/>
      <c r="M34" s="80"/>
      <c r="N34" s="81"/>
      <c r="O34" s="82"/>
      <c r="P34" s="81"/>
      <c r="Q34" s="80"/>
    </row>
    <row r="35" ht="15.15" spans="2:17">
      <c r="B35" s="39"/>
      <c r="C35" s="111"/>
      <c r="D35" s="112"/>
      <c r="E35" s="116"/>
      <c r="F35" s="114"/>
      <c r="G35" s="44"/>
      <c r="H35" s="100"/>
      <c r="I35" s="82"/>
      <c r="J35" s="38"/>
      <c r="K35" s="83"/>
      <c r="L35" s="38"/>
      <c r="M35" s="80"/>
      <c r="N35" s="81"/>
      <c r="O35" s="83"/>
      <c r="P35" s="81"/>
      <c r="Q35" s="80"/>
    </row>
    <row r="36" ht="15.15" spans="2:17">
      <c r="B36" s="50"/>
      <c r="C36" s="51"/>
      <c r="D36" s="52"/>
      <c r="E36" s="53"/>
      <c r="F36" s="52"/>
      <c r="G36" s="54">
        <f t="shared" ref="G36:Q36" si="1">SUM(G8:G35)</f>
        <v>0</v>
      </c>
      <c r="H36" s="55">
        <f t="shared" si="1"/>
        <v>16878.32</v>
      </c>
      <c r="I36" s="84">
        <f t="shared" si="1"/>
        <v>139976.74</v>
      </c>
      <c r="J36" s="85">
        <f t="shared" si="1"/>
        <v>48500.52</v>
      </c>
      <c r="K36" s="86">
        <f t="shared" si="1"/>
        <v>0</v>
      </c>
      <c r="L36" s="87">
        <f t="shared" si="1"/>
        <v>0</v>
      </c>
      <c r="M36" s="88">
        <f t="shared" si="1"/>
        <v>0</v>
      </c>
      <c r="N36" s="89">
        <f t="shared" si="1"/>
        <v>98975.47</v>
      </c>
      <c r="O36" s="89">
        <f t="shared" si="1"/>
        <v>0</v>
      </c>
      <c r="P36" s="55">
        <f t="shared" si="1"/>
        <v>0</v>
      </c>
      <c r="Q36" s="92">
        <f t="shared" si="1"/>
        <v>0</v>
      </c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="2" customFormat="1" spans="1:22">
      <c r="A42" s="6"/>
      <c r="B42" s="3"/>
      <c r="C42"/>
      <c r="D42" s="1"/>
      <c r="E42"/>
      <c r="F42" s="4"/>
      <c r="G42" s="5"/>
      <c r="H42"/>
      <c r="I42" s="6"/>
      <c r="J42" s="1"/>
      <c r="K42" s="1"/>
      <c r="L42" s="1"/>
      <c r="M42" s="1"/>
      <c r="N42" s="1"/>
      <c r="O42" s="1"/>
      <c r="P42" s="7"/>
      <c r="Q42" s="1"/>
      <c r="R42"/>
      <c r="S42"/>
      <c r="T42"/>
      <c r="U42"/>
      <c r="V42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39"/>
  <sheetViews>
    <sheetView zoomScale="90" zoomScaleNormal="90" workbookViewId="0">
      <pane xSplit="5" ySplit="7" topLeftCell="F20" activePane="bottomRight" state="frozen"/>
      <selection/>
      <selection pane="topRight"/>
      <selection pane="bottomLeft"/>
      <selection pane="bottomRight" activeCell="K35" sqref="K35:K39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34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308903.55</v>
      </c>
      <c r="E3" s="17"/>
      <c r="F3" s="18">
        <f>D3+D4</f>
        <v>329730.57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20827.02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G33</f>
        <v>0</v>
      </c>
      <c r="H5" s="32">
        <f t="shared" si="0"/>
        <v>0</v>
      </c>
      <c r="I5" s="73">
        <f t="shared" si="0"/>
        <v>0</v>
      </c>
      <c r="J5" s="32">
        <f t="shared" si="0"/>
        <v>20827.02</v>
      </c>
      <c r="K5" s="73">
        <f t="shared" si="0"/>
        <v>261236.27</v>
      </c>
      <c r="L5" s="32">
        <f t="shared" si="0"/>
        <v>0</v>
      </c>
      <c r="M5" s="73">
        <f t="shared" si="0"/>
        <v>5000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42667.28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45627</v>
      </c>
      <c r="C8" s="47" t="s">
        <v>35</v>
      </c>
      <c r="D8" s="41" t="s">
        <v>19</v>
      </c>
      <c r="E8" s="42"/>
      <c r="F8" s="49" t="s">
        <v>36</v>
      </c>
      <c r="G8" s="44"/>
      <c r="H8" s="45"/>
      <c r="I8" s="80"/>
      <c r="J8" s="38"/>
      <c r="K8" s="83"/>
      <c r="L8" s="38"/>
      <c r="M8" s="80"/>
      <c r="N8" s="81"/>
      <c r="O8" s="82"/>
      <c r="P8" s="81"/>
      <c r="Q8" s="91">
        <v>41467.28</v>
      </c>
    </row>
    <row r="9" spans="2:17">
      <c r="B9" s="39">
        <v>45297</v>
      </c>
      <c r="C9" s="47" t="s">
        <v>37</v>
      </c>
      <c r="D9" s="41" t="s">
        <v>19</v>
      </c>
      <c r="E9" s="42"/>
      <c r="F9" s="49" t="s">
        <v>36</v>
      </c>
      <c r="G9" s="44"/>
      <c r="H9" s="45"/>
      <c r="I9" s="80"/>
      <c r="J9" s="38"/>
      <c r="K9" s="80">
        <v>14000</v>
      </c>
      <c r="L9" s="38"/>
      <c r="M9" s="80"/>
      <c r="N9" s="81"/>
      <c r="O9" s="82"/>
      <c r="P9" s="81"/>
      <c r="Q9" s="91">
        <v>1200</v>
      </c>
    </row>
    <row r="10" spans="2:17">
      <c r="B10" s="39">
        <v>45670</v>
      </c>
      <c r="C10" s="47" t="s">
        <v>38</v>
      </c>
      <c r="D10" s="41" t="s">
        <v>19</v>
      </c>
      <c r="E10" s="42" t="s">
        <v>39</v>
      </c>
      <c r="F10" s="49" t="s">
        <v>36</v>
      </c>
      <c r="G10" s="44"/>
      <c r="H10" s="45"/>
      <c r="I10" s="80"/>
      <c r="J10" s="38"/>
      <c r="K10" s="80">
        <v>52378.48</v>
      </c>
      <c r="L10" s="38"/>
      <c r="M10" s="80"/>
      <c r="N10" s="81"/>
      <c r="O10" s="82"/>
      <c r="P10" s="81"/>
      <c r="Q10" s="91"/>
    </row>
    <row r="11" spans="2:17">
      <c r="B11" s="39">
        <v>45670</v>
      </c>
      <c r="C11" s="47" t="s">
        <v>38</v>
      </c>
      <c r="D11" s="41" t="s">
        <v>19</v>
      </c>
      <c r="E11" s="42" t="s">
        <v>40</v>
      </c>
      <c r="F11" s="49" t="s">
        <v>36</v>
      </c>
      <c r="G11" s="44"/>
      <c r="H11" s="45"/>
      <c r="I11" s="80"/>
      <c r="J11" s="38"/>
      <c r="K11" s="80">
        <v>30344.73</v>
      </c>
      <c r="L11" s="38"/>
      <c r="M11" s="80"/>
      <c r="N11" s="81"/>
      <c r="O11" s="82"/>
      <c r="P11" s="81"/>
      <c r="Q11" s="91"/>
    </row>
    <row r="12" spans="2:17">
      <c r="B12" s="39">
        <v>45670</v>
      </c>
      <c r="C12" s="47" t="s">
        <v>38</v>
      </c>
      <c r="D12" s="41" t="s">
        <v>19</v>
      </c>
      <c r="E12" s="42" t="s">
        <v>41</v>
      </c>
      <c r="F12" s="49" t="s">
        <v>36</v>
      </c>
      <c r="G12" s="44"/>
      <c r="H12" s="45"/>
      <c r="I12" s="80"/>
      <c r="J12" s="38"/>
      <c r="K12" s="80">
        <v>37614.98</v>
      </c>
      <c r="L12" s="38"/>
      <c r="M12" s="80"/>
      <c r="N12" s="81"/>
      <c r="O12" s="82"/>
      <c r="P12" s="81"/>
      <c r="Q12" s="91"/>
    </row>
    <row r="13" spans="2:17">
      <c r="B13" s="39">
        <v>45670</v>
      </c>
      <c r="C13" s="47" t="s">
        <v>38</v>
      </c>
      <c r="D13" s="41" t="s">
        <v>19</v>
      </c>
      <c r="E13" s="42" t="s">
        <v>39</v>
      </c>
      <c r="F13" s="49" t="s">
        <v>36</v>
      </c>
      <c r="G13" s="44"/>
      <c r="H13" s="45"/>
      <c r="I13" s="80"/>
      <c r="J13" s="38"/>
      <c r="K13" s="80">
        <v>35773.68</v>
      </c>
      <c r="L13" s="38"/>
      <c r="M13" s="80"/>
      <c r="N13" s="81"/>
      <c r="O13" s="82"/>
      <c r="P13" s="81"/>
      <c r="Q13" s="91"/>
    </row>
    <row r="14" spans="2:17">
      <c r="B14" s="39">
        <v>45670</v>
      </c>
      <c r="C14" s="47" t="s">
        <v>42</v>
      </c>
      <c r="D14" s="41" t="s">
        <v>19</v>
      </c>
      <c r="E14" s="42" t="s">
        <v>43</v>
      </c>
      <c r="F14" s="49" t="s">
        <v>36</v>
      </c>
      <c r="G14" s="44"/>
      <c r="H14" s="45"/>
      <c r="I14" s="80"/>
      <c r="J14" s="38"/>
      <c r="K14" s="80">
        <v>1850</v>
      </c>
      <c r="L14" s="38"/>
      <c r="M14" s="80"/>
      <c r="N14" s="81"/>
      <c r="O14" s="82"/>
      <c r="P14" s="81"/>
      <c r="Q14" s="91"/>
    </row>
    <row r="15" spans="2:17">
      <c r="B15" s="39">
        <v>45670</v>
      </c>
      <c r="C15" s="47" t="s">
        <v>44</v>
      </c>
      <c r="D15" s="41" t="s">
        <v>19</v>
      </c>
      <c r="E15" s="42" t="s">
        <v>45</v>
      </c>
      <c r="F15" s="49" t="s">
        <v>36</v>
      </c>
      <c r="G15" s="44"/>
      <c r="H15" s="45"/>
      <c r="I15" s="80"/>
      <c r="J15" s="38">
        <v>4500</v>
      </c>
      <c r="K15" s="80"/>
      <c r="L15" s="38"/>
      <c r="M15" s="80"/>
      <c r="N15" s="81"/>
      <c r="O15" s="82"/>
      <c r="P15" s="81"/>
      <c r="Q15" s="91"/>
    </row>
    <row r="16" spans="2:17">
      <c r="B16" s="39">
        <v>45306</v>
      </c>
      <c r="C16" s="47" t="s">
        <v>46</v>
      </c>
      <c r="D16" s="41" t="s">
        <v>19</v>
      </c>
      <c r="E16" s="42" t="s">
        <v>47</v>
      </c>
      <c r="F16" s="49" t="s">
        <v>36</v>
      </c>
      <c r="G16" s="44"/>
      <c r="H16" s="45"/>
      <c r="I16" s="80"/>
      <c r="J16" s="38"/>
      <c r="K16" s="80">
        <v>13950</v>
      </c>
      <c r="L16" s="38"/>
      <c r="M16" s="80"/>
      <c r="N16" s="81"/>
      <c r="O16" s="82"/>
      <c r="P16" s="81"/>
      <c r="Q16" s="91"/>
    </row>
    <row r="17" spans="2:17">
      <c r="B17" s="39">
        <v>45307</v>
      </c>
      <c r="C17" s="47" t="s">
        <v>48</v>
      </c>
      <c r="D17" s="41" t="s">
        <v>49</v>
      </c>
      <c r="E17" s="42"/>
      <c r="F17" s="49" t="s">
        <v>36</v>
      </c>
      <c r="G17" s="44"/>
      <c r="H17" s="45"/>
      <c r="I17" s="80"/>
      <c r="J17" s="38"/>
      <c r="K17" s="80">
        <v>18340</v>
      </c>
      <c r="L17" s="38"/>
      <c r="M17" s="80"/>
      <c r="N17" s="81"/>
      <c r="O17" s="82"/>
      <c r="P17" s="81"/>
      <c r="Q17" s="91"/>
    </row>
    <row r="18" spans="2:17">
      <c r="B18" s="39">
        <v>45311</v>
      </c>
      <c r="C18" s="47" t="s">
        <v>48</v>
      </c>
      <c r="D18" s="41" t="s">
        <v>49</v>
      </c>
      <c r="E18" s="42" t="s">
        <v>50</v>
      </c>
      <c r="F18" s="49" t="s">
        <v>36</v>
      </c>
      <c r="G18" s="44"/>
      <c r="H18" s="45"/>
      <c r="I18" s="80"/>
      <c r="J18" s="38"/>
      <c r="K18" s="80">
        <v>5835</v>
      </c>
      <c r="L18" s="38"/>
      <c r="M18" s="80"/>
      <c r="N18" s="81"/>
      <c r="O18" s="82"/>
      <c r="P18" s="81"/>
      <c r="Q18" s="91"/>
    </row>
    <row r="19" spans="2:17">
      <c r="B19" s="39">
        <v>45678</v>
      </c>
      <c r="C19" s="47" t="s">
        <v>51</v>
      </c>
      <c r="D19" s="41" t="s">
        <v>19</v>
      </c>
      <c r="E19" s="42">
        <v>44</v>
      </c>
      <c r="F19" s="49" t="s">
        <v>36</v>
      </c>
      <c r="G19" s="44"/>
      <c r="H19" s="45"/>
      <c r="I19" s="80"/>
      <c r="J19" s="38">
        <v>11441.27</v>
      </c>
      <c r="K19" s="80"/>
      <c r="L19" s="38"/>
      <c r="M19" s="80"/>
      <c r="N19" s="81"/>
      <c r="O19" s="82"/>
      <c r="P19" s="81"/>
      <c r="Q19" s="91"/>
    </row>
    <row r="20" spans="2:17">
      <c r="B20" s="39">
        <v>45678</v>
      </c>
      <c r="C20" s="47" t="s">
        <v>51</v>
      </c>
      <c r="D20" s="41" t="s">
        <v>19</v>
      </c>
      <c r="E20" s="104">
        <v>44</v>
      </c>
      <c r="F20" s="49" t="s">
        <v>36</v>
      </c>
      <c r="G20" s="44"/>
      <c r="H20" s="97"/>
      <c r="I20" s="80"/>
      <c r="J20" s="38">
        <v>573.75</v>
      </c>
      <c r="K20" s="80"/>
      <c r="L20" s="38"/>
      <c r="M20" s="80"/>
      <c r="N20" s="81"/>
      <c r="O20" s="82"/>
      <c r="P20" s="81"/>
      <c r="Q20" s="91"/>
    </row>
    <row r="21" spans="2:17">
      <c r="B21" s="39">
        <v>45678</v>
      </c>
      <c r="C21" s="47" t="s">
        <v>52</v>
      </c>
      <c r="D21" s="41" t="s">
        <v>19</v>
      </c>
      <c r="E21" s="104" t="s">
        <v>53</v>
      </c>
      <c r="F21" s="49" t="s">
        <v>36</v>
      </c>
      <c r="G21" s="44"/>
      <c r="H21" s="97"/>
      <c r="I21" s="80"/>
      <c r="J21" s="38"/>
      <c r="K21" s="80">
        <v>7200</v>
      </c>
      <c r="L21" s="38"/>
      <c r="M21" s="80"/>
      <c r="N21" s="81"/>
      <c r="O21" s="82"/>
      <c r="P21" s="81"/>
      <c r="Q21" s="91"/>
    </row>
    <row r="22" spans="2:17">
      <c r="B22" s="39">
        <v>45678</v>
      </c>
      <c r="C22" s="47" t="s">
        <v>52</v>
      </c>
      <c r="D22" s="41" t="s">
        <v>19</v>
      </c>
      <c r="E22" s="104" t="s">
        <v>54</v>
      </c>
      <c r="F22" s="49" t="s">
        <v>36</v>
      </c>
      <c r="G22" s="44"/>
      <c r="H22" s="97"/>
      <c r="I22" s="80"/>
      <c r="J22" s="38"/>
      <c r="K22" s="80">
        <v>8700</v>
      </c>
      <c r="L22" s="38"/>
      <c r="M22" s="80"/>
      <c r="N22" s="81"/>
      <c r="O22" s="82"/>
      <c r="P22" s="81"/>
      <c r="Q22" s="91"/>
    </row>
    <row r="23" spans="2:17">
      <c r="B23" s="39">
        <v>45679</v>
      </c>
      <c r="C23" s="47" t="s">
        <v>55</v>
      </c>
      <c r="D23" s="41" t="s">
        <v>19</v>
      </c>
      <c r="E23" s="104" t="s">
        <v>56</v>
      </c>
      <c r="F23" s="49" t="s">
        <v>36</v>
      </c>
      <c r="G23" s="44"/>
      <c r="H23" s="97"/>
      <c r="I23" s="80"/>
      <c r="J23" s="38"/>
      <c r="K23" s="80">
        <v>1201.41</v>
      </c>
      <c r="L23" s="38"/>
      <c r="M23" s="80"/>
      <c r="N23" s="81"/>
      <c r="O23" s="82"/>
      <c r="P23" s="81"/>
      <c r="Q23" s="91"/>
    </row>
    <row r="24" spans="2:17">
      <c r="B24" s="39">
        <v>45679</v>
      </c>
      <c r="C24" s="47" t="s">
        <v>55</v>
      </c>
      <c r="D24" s="41" t="s">
        <v>19</v>
      </c>
      <c r="E24" s="104" t="s">
        <v>57</v>
      </c>
      <c r="F24" s="49" t="s">
        <v>36</v>
      </c>
      <c r="G24" s="44"/>
      <c r="H24" s="97"/>
      <c r="I24" s="80"/>
      <c r="J24" s="38"/>
      <c r="K24" s="80">
        <v>6807.99</v>
      </c>
      <c r="L24" s="38"/>
      <c r="M24" s="80"/>
      <c r="N24" s="81"/>
      <c r="O24" s="82"/>
      <c r="P24" s="81"/>
      <c r="Q24" s="91"/>
    </row>
    <row r="25" spans="2:17">
      <c r="B25" s="39">
        <v>45681</v>
      </c>
      <c r="C25" s="47" t="s">
        <v>58</v>
      </c>
      <c r="D25" s="41" t="s">
        <v>19</v>
      </c>
      <c r="E25" s="104" t="s">
        <v>59</v>
      </c>
      <c r="F25" s="49" t="s">
        <v>36</v>
      </c>
      <c r="G25" s="44"/>
      <c r="H25" s="97"/>
      <c r="I25" s="80"/>
      <c r="J25" s="38">
        <v>4312</v>
      </c>
      <c r="K25" s="80"/>
      <c r="L25" s="38"/>
      <c r="M25" s="80"/>
      <c r="N25" s="81"/>
      <c r="O25" s="82"/>
      <c r="P25" s="81"/>
      <c r="Q25" s="91"/>
    </row>
    <row r="26" spans="2:17">
      <c r="B26" s="39">
        <v>45681</v>
      </c>
      <c r="C26" s="47" t="s">
        <v>58</v>
      </c>
      <c r="D26" s="41" t="s">
        <v>19</v>
      </c>
      <c r="E26" s="104" t="s">
        <v>60</v>
      </c>
      <c r="F26" s="49" t="s">
        <v>36</v>
      </c>
      <c r="G26" s="44"/>
      <c r="H26" s="97"/>
      <c r="I26" s="80"/>
      <c r="J26" s="38"/>
      <c r="K26" s="80">
        <v>8330</v>
      </c>
      <c r="L26" s="38"/>
      <c r="M26" s="80"/>
      <c r="N26" s="81"/>
      <c r="O26" s="82"/>
      <c r="P26" s="81"/>
      <c r="Q26" s="91"/>
    </row>
    <row r="27" spans="2:17">
      <c r="B27" s="39">
        <v>45685</v>
      </c>
      <c r="C27" s="47" t="s">
        <v>61</v>
      </c>
      <c r="D27" s="41"/>
      <c r="E27" s="104"/>
      <c r="F27" s="49" t="s">
        <v>36</v>
      </c>
      <c r="G27" s="44"/>
      <c r="H27" s="97"/>
      <c r="I27" s="80"/>
      <c r="J27" s="38"/>
      <c r="K27" s="80"/>
      <c r="L27" s="38"/>
      <c r="M27" s="80">
        <v>2500</v>
      </c>
      <c r="N27" s="81"/>
      <c r="O27" s="82"/>
      <c r="P27" s="81"/>
      <c r="Q27" s="91"/>
    </row>
    <row r="28" spans="2:17">
      <c r="B28" s="39">
        <v>45687</v>
      </c>
      <c r="C28" s="47" t="s">
        <v>62</v>
      </c>
      <c r="D28" s="41" t="s">
        <v>19</v>
      </c>
      <c r="E28" s="104" t="s">
        <v>63</v>
      </c>
      <c r="F28" s="49" t="s">
        <v>36</v>
      </c>
      <c r="G28" s="44"/>
      <c r="H28" s="97"/>
      <c r="I28" s="80"/>
      <c r="J28" s="38"/>
      <c r="K28" s="80">
        <v>2500</v>
      </c>
      <c r="L28" s="38"/>
      <c r="M28" s="80"/>
      <c r="N28" s="81"/>
      <c r="O28" s="82"/>
      <c r="P28" s="81"/>
      <c r="Q28" s="91"/>
    </row>
    <row r="29" spans="2:17">
      <c r="B29" s="39">
        <v>45687</v>
      </c>
      <c r="C29" s="47" t="s">
        <v>58</v>
      </c>
      <c r="D29" s="41" t="s">
        <v>19</v>
      </c>
      <c r="E29" s="104" t="s">
        <v>64</v>
      </c>
      <c r="F29" s="49" t="s">
        <v>36</v>
      </c>
      <c r="G29" s="44"/>
      <c r="H29" s="97"/>
      <c r="I29" s="80"/>
      <c r="J29" s="38"/>
      <c r="K29" s="80">
        <v>14210</v>
      </c>
      <c r="L29" s="38"/>
      <c r="M29" s="80"/>
      <c r="N29" s="81"/>
      <c r="O29" s="82"/>
      <c r="P29" s="81"/>
      <c r="Q29" s="91"/>
    </row>
    <row r="30" spans="2:17">
      <c r="B30" s="39">
        <v>45688</v>
      </c>
      <c r="C30" s="47" t="s">
        <v>46</v>
      </c>
      <c r="D30" s="41" t="s">
        <v>19</v>
      </c>
      <c r="E30" s="104" t="s">
        <v>65</v>
      </c>
      <c r="F30" s="49" t="s">
        <v>36</v>
      </c>
      <c r="G30" s="44"/>
      <c r="H30" s="97"/>
      <c r="I30" s="80"/>
      <c r="J30" s="38"/>
      <c r="K30" s="80">
        <v>2200</v>
      </c>
      <c r="L30" s="38"/>
      <c r="M30" s="80"/>
      <c r="N30" s="81"/>
      <c r="O30" s="82"/>
      <c r="P30" s="81"/>
      <c r="Q30" s="91"/>
    </row>
    <row r="31" spans="2:17">
      <c r="B31" s="39">
        <v>45688</v>
      </c>
      <c r="C31" s="47" t="s">
        <v>61</v>
      </c>
      <c r="D31" s="41"/>
      <c r="E31" s="104"/>
      <c r="F31" s="49" t="s">
        <v>36</v>
      </c>
      <c r="G31" s="44"/>
      <c r="H31" s="97"/>
      <c r="I31" s="80"/>
      <c r="J31" s="38"/>
      <c r="K31" s="80"/>
      <c r="L31" s="38"/>
      <c r="M31" s="80">
        <v>2500</v>
      </c>
      <c r="N31" s="45"/>
      <c r="O31" s="80"/>
      <c r="P31" s="81"/>
      <c r="Q31" s="91"/>
    </row>
    <row r="32" ht="15.15" spans="2:17">
      <c r="B32" s="39"/>
      <c r="C32" s="111"/>
      <c r="D32" s="112"/>
      <c r="E32" s="116"/>
      <c r="F32" s="114"/>
      <c r="G32" s="44"/>
      <c r="H32" s="100"/>
      <c r="I32" s="82"/>
      <c r="J32" s="38"/>
      <c r="K32" s="83"/>
      <c r="L32" s="38"/>
      <c r="M32" s="80"/>
      <c r="N32" s="81"/>
      <c r="O32" s="83"/>
      <c r="P32" s="81"/>
      <c r="Q32" s="80"/>
    </row>
    <row r="33" ht="15.15" spans="2:17">
      <c r="B33" s="50"/>
      <c r="C33" s="51"/>
      <c r="D33" s="52"/>
      <c r="E33" s="53"/>
      <c r="F33" s="52"/>
      <c r="G33" s="54">
        <f t="shared" ref="G33:Q33" si="1">SUM(G8:G32)</f>
        <v>0</v>
      </c>
      <c r="H33" s="55">
        <f t="shared" si="1"/>
        <v>0</v>
      </c>
      <c r="I33" s="84">
        <f t="shared" si="1"/>
        <v>0</v>
      </c>
      <c r="J33" s="85">
        <f t="shared" si="1"/>
        <v>20827.02</v>
      </c>
      <c r="K33" s="86">
        <f t="shared" si="1"/>
        <v>261236.27</v>
      </c>
      <c r="L33" s="87">
        <f t="shared" si="1"/>
        <v>0</v>
      </c>
      <c r="M33" s="88">
        <f t="shared" si="1"/>
        <v>5000</v>
      </c>
      <c r="N33" s="89">
        <f t="shared" si="1"/>
        <v>0</v>
      </c>
      <c r="O33" s="89">
        <f t="shared" si="1"/>
        <v>0</v>
      </c>
      <c r="P33" s="55">
        <f t="shared" si="1"/>
        <v>0</v>
      </c>
      <c r="Q33" s="92">
        <f t="shared" si="1"/>
        <v>42667.28</v>
      </c>
    </row>
    <row r="34" spans="1:1">
      <c r="A34" s="6"/>
    </row>
    <row r="35" spans="1:11">
      <c r="A35" s="6"/>
      <c r="C35" s="111" t="s">
        <v>66</v>
      </c>
      <c r="D35" s="112" t="s">
        <v>19</v>
      </c>
      <c r="E35" s="113" t="s">
        <v>67</v>
      </c>
      <c r="F35" s="114" t="s">
        <v>17</v>
      </c>
      <c r="G35" s="44"/>
      <c r="H35" s="105"/>
      <c r="I35" s="110"/>
      <c r="J35" s="109"/>
      <c r="K35" s="110">
        <v>275460</v>
      </c>
    </row>
    <row r="36" spans="1:11">
      <c r="A36" s="6"/>
      <c r="C36" s="111" t="s">
        <v>68</v>
      </c>
      <c r="D36" s="112" t="s">
        <v>19</v>
      </c>
      <c r="E36" s="117" t="s">
        <v>69</v>
      </c>
      <c r="F36" s="114" t="s">
        <v>17</v>
      </c>
      <c r="G36" s="44"/>
      <c r="H36" s="105"/>
      <c r="I36" s="110"/>
      <c r="J36" s="109"/>
      <c r="K36" s="110">
        <v>9016.8</v>
      </c>
    </row>
    <row r="37" spans="1:11">
      <c r="A37" s="6"/>
      <c r="C37" s="111" t="s">
        <v>70</v>
      </c>
      <c r="D37" s="112" t="s">
        <v>19</v>
      </c>
      <c r="E37" s="113" t="s">
        <v>71</v>
      </c>
      <c r="F37" s="114" t="s">
        <v>17</v>
      </c>
      <c r="G37" s="44"/>
      <c r="H37" s="105"/>
      <c r="I37" s="110"/>
      <c r="J37" s="109"/>
      <c r="K37" s="110">
        <v>252960</v>
      </c>
    </row>
    <row r="38" spans="1:11">
      <c r="A38" s="6"/>
      <c r="C38" s="111" t="s">
        <v>72</v>
      </c>
      <c r="D38" s="112" t="s">
        <v>19</v>
      </c>
      <c r="E38" s="117" t="s">
        <v>73</v>
      </c>
      <c r="F38" s="114" t="s">
        <v>17</v>
      </c>
      <c r="G38" s="44"/>
      <c r="H38" s="105"/>
      <c r="I38" s="110"/>
      <c r="J38" s="109"/>
      <c r="K38" s="110">
        <v>178200</v>
      </c>
    </row>
    <row r="39" s="2" customFormat="1" spans="1:22">
      <c r="A39" s="6"/>
      <c r="B39" s="3"/>
      <c r="C39"/>
      <c r="D39" s="1"/>
      <c r="E39"/>
      <c r="F39" s="4"/>
      <c r="G39" s="5"/>
      <c r="H39"/>
      <c r="I39" s="6"/>
      <c r="J39" s="1"/>
      <c r="K39" s="1"/>
      <c r="L39" s="1"/>
      <c r="M39" s="1"/>
      <c r="N39" s="1"/>
      <c r="O39" s="1"/>
      <c r="P39" s="7"/>
      <c r="Q39" s="1"/>
      <c r="R39"/>
      <c r="S39"/>
      <c r="T39"/>
      <c r="U39"/>
      <c r="V39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31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F22" sqref="F22:F23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13.1111111111111" style="1" customWidth="1"/>
    <col min="5" max="5" width="10.4444444444444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74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478975.19</v>
      </c>
      <c r="E3" s="17"/>
      <c r="F3" s="18">
        <f>D3+D4</f>
        <v>525685.45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46710.26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G25</f>
        <v>0</v>
      </c>
      <c r="H5" s="32">
        <f t="shared" si="0"/>
        <v>0</v>
      </c>
      <c r="I5" s="73">
        <f t="shared" si="0"/>
        <v>16800</v>
      </c>
      <c r="J5" s="32">
        <f t="shared" si="0"/>
        <v>46710.26</v>
      </c>
      <c r="K5" s="73">
        <f t="shared" si="0"/>
        <v>459975.19</v>
      </c>
      <c r="L5" s="32">
        <f t="shared" si="0"/>
        <v>0</v>
      </c>
      <c r="M5" s="73">
        <f t="shared" si="0"/>
        <v>2200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45699</v>
      </c>
      <c r="C8" s="40" t="s">
        <v>75</v>
      </c>
      <c r="D8" s="41" t="s">
        <v>19</v>
      </c>
      <c r="E8" s="102" t="s">
        <v>76</v>
      </c>
      <c r="F8" s="49" t="s">
        <v>36</v>
      </c>
      <c r="G8" s="103"/>
      <c r="H8" s="81"/>
      <c r="I8" s="80">
        <v>15000</v>
      </c>
      <c r="J8" s="38"/>
      <c r="K8" s="80"/>
      <c r="L8" s="38"/>
      <c r="M8" s="80"/>
      <c r="N8" s="81"/>
      <c r="O8" s="82"/>
      <c r="P8" s="81"/>
      <c r="Q8" s="91"/>
    </row>
    <row r="9" spans="2:17">
      <c r="B9" s="39">
        <v>45700</v>
      </c>
      <c r="C9" s="47" t="s">
        <v>38</v>
      </c>
      <c r="D9" s="41" t="s">
        <v>19</v>
      </c>
      <c r="E9" s="102" t="s">
        <v>77</v>
      </c>
      <c r="F9" s="49" t="s">
        <v>36</v>
      </c>
      <c r="G9" s="103"/>
      <c r="H9" s="81"/>
      <c r="I9" s="80"/>
      <c r="J9" s="38"/>
      <c r="K9" s="80">
        <v>47101.99</v>
      </c>
      <c r="L9" s="38"/>
      <c r="M9" s="80"/>
      <c r="N9" s="81"/>
      <c r="O9" s="82"/>
      <c r="P9" s="81"/>
      <c r="Q9" s="91"/>
    </row>
    <row r="10" spans="2:17">
      <c r="B10" s="39">
        <v>45700</v>
      </c>
      <c r="C10" s="47" t="s">
        <v>38</v>
      </c>
      <c r="D10" s="41" t="s">
        <v>19</v>
      </c>
      <c r="E10" s="102" t="s">
        <v>78</v>
      </c>
      <c r="F10" s="49" t="s">
        <v>36</v>
      </c>
      <c r="G10" s="103"/>
      <c r="H10" s="81"/>
      <c r="I10" s="80"/>
      <c r="J10" s="38">
        <v>26830.26</v>
      </c>
      <c r="K10" s="80"/>
      <c r="L10" s="38"/>
      <c r="M10" s="80"/>
      <c r="N10" s="81"/>
      <c r="O10" s="82"/>
      <c r="P10" s="81"/>
      <c r="Q10" s="91"/>
    </row>
    <row r="11" spans="2:17">
      <c r="B11" s="39">
        <v>45705</v>
      </c>
      <c r="C11" s="47" t="s">
        <v>58</v>
      </c>
      <c r="D11" s="41" t="s">
        <v>19</v>
      </c>
      <c r="E11" s="102" t="s">
        <v>79</v>
      </c>
      <c r="F11" s="49" t="s">
        <v>36</v>
      </c>
      <c r="G11" s="103"/>
      <c r="H11" s="81"/>
      <c r="I11" s="80"/>
      <c r="J11" s="38">
        <v>5880</v>
      </c>
      <c r="K11" s="80"/>
      <c r="L11" s="38"/>
      <c r="M11" s="80"/>
      <c r="N11" s="81"/>
      <c r="O11" s="82"/>
      <c r="P11" s="81"/>
      <c r="Q11" s="91"/>
    </row>
    <row r="12" spans="2:17">
      <c r="B12" s="39">
        <v>45706</v>
      </c>
      <c r="C12" s="40" t="s">
        <v>80</v>
      </c>
      <c r="D12" s="41" t="s">
        <v>49</v>
      </c>
      <c r="E12" s="102"/>
      <c r="F12" s="49" t="s">
        <v>36</v>
      </c>
      <c r="G12" s="103"/>
      <c r="H12" s="81"/>
      <c r="I12" s="80">
        <v>1800</v>
      </c>
      <c r="J12" s="38"/>
      <c r="K12" s="80"/>
      <c r="L12" s="38"/>
      <c r="M12" s="80"/>
      <c r="N12" s="81"/>
      <c r="O12" s="82"/>
      <c r="P12" s="81"/>
      <c r="Q12" s="91"/>
    </row>
    <row r="13" spans="2:17">
      <c r="B13" s="39">
        <v>45706</v>
      </c>
      <c r="C13" s="47" t="s">
        <v>81</v>
      </c>
      <c r="D13" s="41" t="s">
        <v>49</v>
      </c>
      <c r="E13" s="102"/>
      <c r="F13" s="49" t="s">
        <v>36</v>
      </c>
      <c r="G13" s="103"/>
      <c r="H13" s="81"/>
      <c r="I13" s="80"/>
      <c r="J13" s="38"/>
      <c r="K13" s="80"/>
      <c r="L13" s="38"/>
      <c r="M13" s="80">
        <v>2200</v>
      </c>
      <c r="N13" s="81"/>
      <c r="O13" s="82"/>
      <c r="P13" s="81"/>
      <c r="Q13" s="91"/>
    </row>
    <row r="14" spans="2:17">
      <c r="B14" s="39">
        <v>45708</v>
      </c>
      <c r="C14" s="47" t="s">
        <v>37</v>
      </c>
      <c r="D14" s="41" t="s">
        <v>19</v>
      </c>
      <c r="E14" s="102" t="s">
        <v>82</v>
      </c>
      <c r="F14" s="49" t="s">
        <v>36</v>
      </c>
      <c r="G14" s="103"/>
      <c r="H14" s="81"/>
      <c r="I14" s="80"/>
      <c r="J14" s="38">
        <v>6500</v>
      </c>
      <c r="K14" s="80"/>
      <c r="L14" s="38"/>
      <c r="M14" s="80"/>
      <c r="N14" s="81"/>
      <c r="O14" s="82"/>
      <c r="P14" s="81"/>
      <c r="Q14" s="91"/>
    </row>
    <row r="15" spans="2:17">
      <c r="B15" s="39">
        <v>45709</v>
      </c>
      <c r="C15" s="40" t="s">
        <v>83</v>
      </c>
      <c r="D15" s="41" t="s">
        <v>19</v>
      </c>
      <c r="E15" s="102" t="s">
        <v>84</v>
      </c>
      <c r="F15" s="49" t="s">
        <v>36</v>
      </c>
      <c r="G15" s="103"/>
      <c r="H15" s="81"/>
      <c r="I15" s="80"/>
      <c r="J15" s="38"/>
      <c r="K15" s="80">
        <v>80415</v>
      </c>
      <c r="L15" s="38"/>
      <c r="M15" s="80"/>
      <c r="N15" s="81"/>
      <c r="O15" s="82"/>
      <c r="P15" s="81"/>
      <c r="Q15" s="91"/>
    </row>
    <row r="16" spans="2:17">
      <c r="B16" s="39">
        <v>45709</v>
      </c>
      <c r="C16" s="40" t="s">
        <v>83</v>
      </c>
      <c r="D16" s="41" t="s">
        <v>19</v>
      </c>
      <c r="E16" s="102" t="s">
        <v>85</v>
      </c>
      <c r="F16" s="49" t="s">
        <v>36</v>
      </c>
      <c r="G16" s="103"/>
      <c r="H16" s="81"/>
      <c r="I16" s="80"/>
      <c r="J16" s="38"/>
      <c r="K16" s="80">
        <v>128664</v>
      </c>
      <c r="L16" s="38"/>
      <c r="M16" s="80"/>
      <c r="N16" s="81"/>
      <c r="O16" s="82"/>
      <c r="P16" s="81"/>
      <c r="Q16" s="91"/>
    </row>
    <row r="17" spans="2:17">
      <c r="B17" s="39">
        <v>45709</v>
      </c>
      <c r="C17" s="40" t="s">
        <v>83</v>
      </c>
      <c r="D17" s="41" t="s">
        <v>19</v>
      </c>
      <c r="E17" s="102" t="s">
        <v>86</v>
      </c>
      <c r="F17" s="49" t="s">
        <v>36</v>
      </c>
      <c r="G17" s="103"/>
      <c r="H17" s="81"/>
      <c r="I17" s="80"/>
      <c r="J17" s="38"/>
      <c r="K17" s="80">
        <v>152424</v>
      </c>
      <c r="L17" s="38"/>
      <c r="M17" s="80"/>
      <c r="N17" s="81"/>
      <c r="O17" s="82"/>
      <c r="P17" s="81"/>
      <c r="Q17" s="91"/>
    </row>
    <row r="18" spans="2:17">
      <c r="B18" s="39">
        <v>45709</v>
      </c>
      <c r="C18" s="40" t="s">
        <v>83</v>
      </c>
      <c r="D18" s="41" t="s">
        <v>19</v>
      </c>
      <c r="E18" s="102" t="s">
        <v>87</v>
      </c>
      <c r="F18" s="49" t="s">
        <v>36</v>
      </c>
      <c r="G18" s="103"/>
      <c r="H18" s="81"/>
      <c r="I18" s="80"/>
      <c r="J18" s="38"/>
      <c r="K18" s="80">
        <v>16936</v>
      </c>
      <c r="L18" s="38"/>
      <c r="M18" s="80"/>
      <c r="N18" s="81"/>
      <c r="O18" s="82"/>
      <c r="P18" s="81"/>
      <c r="Q18" s="91"/>
    </row>
    <row r="19" spans="2:17">
      <c r="B19" s="39">
        <v>45709</v>
      </c>
      <c r="C19" s="40" t="s">
        <v>83</v>
      </c>
      <c r="D19" s="41" t="s">
        <v>19</v>
      </c>
      <c r="E19" s="102" t="s">
        <v>88</v>
      </c>
      <c r="F19" s="49" t="s">
        <v>36</v>
      </c>
      <c r="G19" s="103"/>
      <c r="H19" s="81"/>
      <c r="I19" s="80"/>
      <c r="J19" s="38"/>
      <c r="K19" s="80">
        <v>8935</v>
      </c>
      <c r="L19" s="38"/>
      <c r="M19" s="80"/>
      <c r="N19" s="81"/>
      <c r="O19" s="82"/>
      <c r="P19" s="81"/>
      <c r="Q19" s="91"/>
    </row>
    <row r="20" spans="2:17">
      <c r="B20" s="39">
        <v>45709</v>
      </c>
      <c r="C20" s="40" t="s">
        <v>83</v>
      </c>
      <c r="D20" s="41" t="s">
        <v>19</v>
      </c>
      <c r="E20" s="96" t="s">
        <v>89</v>
      </c>
      <c r="F20" s="49" t="s">
        <v>36</v>
      </c>
      <c r="G20" s="44"/>
      <c r="H20" s="45"/>
      <c r="I20" s="80"/>
      <c r="J20" s="38"/>
      <c r="K20" s="80">
        <v>14296</v>
      </c>
      <c r="L20" s="38"/>
      <c r="M20" s="80"/>
      <c r="N20" s="45"/>
      <c r="O20" s="115"/>
      <c r="P20" s="81"/>
      <c r="Q20" s="91"/>
    </row>
    <row r="21" spans="2:17">
      <c r="B21" s="39">
        <v>45716</v>
      </c>
      <c r="C21" s="47" t="s">
        <v>48</v>
      </c>
      <c r="D21" s="41" t="s">
        <v>49</v>
      </c>
      <c r="E21" s="96" t="s">
        <v>90</v>
      </c>
      <c r="F21" s="49" t="s">
        <v>36</v>
      </c>
      <c r="G21" s="44"/>
      <c r="H21" s="45"/>
      <c r="I21" s="80"/>
      <c r="J21" s="38"/>
      <c r="K21" s="80">
        <v>11203.2</v>
      </c>
      <c r="L21" s="38"/>
      <c r="M21" s="80"/>
      <c r="N21" s="81"/>
      <c r="O21" s="82"/>
      <c r="P21" s="81"/>
      <c r="Q21" s="91"/>
    </row>
    <row r="22" spans="2:17">
      <c r="B22" s="39">
        <v>45716</v>
      </c>
      <c r="C22" s="47" t="s">
        <v>91</v>
      </c>
      <c r="D22" s="41" t="s">
        <v>19</v>
      </c>
      <c r="E22" s="101" t="s">
        <v>65</v>
      </c>
      <c r="F22" s="49" t="s">
        <v>36</v>
      </c>
      <c r="G22" s="44"/>
      <c r="H22" s="45"/>
      <c r="I22" s="80"/>
      <c r="J22" s="38">
        <v>2500</v>
      </c>
      <c r="K22" s="80"/>
      <c r="L22" s="38"/>
      <c r="M22" s="80"/>
      <c r="N22" s="81"/>
      <c r="O22" s="82"/>
      <c r="P22" s="81"/>
      <c r="Q22" s="91"/>
    </row>
    <row r="23" spans="2:17">
      <c r="B23" s="39">
        <v>45716</v>
      </c>
      <c r="C23" s="47" t="s">
        <v>92</v>
      </c>
      <c r="D23" s="41" t="s">
        <v>19</v>
      </c>
      <c r="E23" s="101" t="s">
        <v>93</v>
      </c>
      <c r="F23" s="49" t="s">
        <v>36</v>
      </c>
      <c r="G23" s="44"/>
      <c r="H23" s="45"/>
      <c r="I23" s="80"/>
      <c r="J23" s="38">
        <v>5000</v>
      </c>
      <c r="K23" s="80"/>
      <c r="L23" s="38"/>
      <c r="M23" s="80"/>
      <c r="N23" s="81"/>
      <c r="O23" s="82"/>
      <c r="P23" s="81"/>
      <c r="Q23" s="91"/>
    </row>
    <row r="24" ht="15.15" spans="2:17">
      <c r="B24" s="39"/>
      <c r="C24" s="111"/>
      <c r="D24" s="112"/>
      <c r="E24" s="113"/>
      <c r="F24" s="114"/>
      <c r="G24" s="44"/>
      <c r="H24" s="105"/>
      <c r="I24" s="110"/>
      <c r="J24" s="109"/>
      <c r="K24" s="110"/>
      <c r="L24" s="38"/>
      <c r="M24" s="80"/>
      <c r="N24" s="81"/>
      <c r="O24" s="82"/>
      <c r="P24" s="81"/>
      <c r="Q24" s="91"/>
    </row>
    <row r="25" ht="15.15" spans="2:17">
      <c r="B25" s="50"/>
      <c r="C25" s="51"/>
      <c r="D25" s="52"/>
      <c r="E25" s="53"/>
      <c r="F25" s="52"/>
      <c r="G25" s="54">
        <f t="shared" ref="G25:Q25" si="1">SUM(G8:G24)</f>
        <v>0</v>
      </c>
      <c r="H25" s="55">
        <f t="shared" si="1"/>
        <v>0</v>
      </c>
      <c r="I25" s="84">
        <f t="shared" si="1"/>
        <v>16800</v>
      </c>
      <c r="J25" s="85">
        <f t="shared" si="1"/>
        <v>46710.26</v>
      </c>
      <c r="K25" s="86">
        <f t="shared" si="1"/>
        <v>459975.19</v>
      </c>
      <c r="L25" s="87">
        <f t="shared" si="1"/>
        <v>0</v>
      </c>
      <c r="M25" s="88">
        <f t="shared" si="1"/>
        <v>2200</v>
      </c>
      <c r="N25" s="89">
        <f t="shared" si="1"/>
        <v>0</v>
      </c>
      <c r="O25" s="89">
        <f t="shared" si="1"/>
        <v>0</v>
      </c>
      <c r="P25" s="55">
        <f t="shared" si="1"/>
        <v>0</v>
      </c>
      <c r="Q25" s="92">
        <f t="shared" si="1"/>
        <v>0</v>
      </c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="2" customFormat="1" spans="1:22">
      <c r="A31" s="6"/>
      <c r="B31" s="3"/>
      <c r="C31"/>
      <c r="D31" s="1"/>
      <c r="E31"/>
      <c r="F31" s="4"/>
      <c r="G31" s="5"/>
      <c r="H31"/>
      <c r="I31" s="6"/>
      <c r="J31" s="1"/>
      <c r="K31" s="1"/>
      <c r="L31" s="1"/>
      <c r="M31" s="1"/>
      <c r="N31" s="1"/>
      <c r="O31" s="1"/>
      <c r="P31" s="7"/>
      <c r="Q31" s="1"/>
      <c r="R31"/>
      <c r="S31"/>
      <c r="T31"/>
      <c r="U31"/>
      <c r="V31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0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G22" sqref="G22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0.4444444444444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94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685735.84</v>
      </c>
      <c r="E3" s="17"/>
      <c r="F3" s="18">
        <f>D3+D4</f>
        <v>747996.66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62260.82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G34</f>
        <v>0</v>
      </c>
      <c r="H5" s="32">
        <f t="shared" si="0"/>
        <v>0</v>
      </c>
      <c r="I5" s="73">
        <f t="shared" si="0"/>
        <v>627945.14</v>
      </c>
      <c r="J5" s="32">
        <f t="shared" si="0"/>
        <v>62260.82</v>
      </c>
      <c r="K5" s="73">
        <f t="shared" si="0"/>
        <v>57790.7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45719</v>
      </c>
      <c r="C8" s="40" t="s">
        <v>95</v>
      </c>
      <c r="D8" s="41" t="s">
        <v>19</v>
      </c>
      <c r="E8" s="42" t="s">
        <v>96</v>
      </c>
      <c r="F8" s="43" t="s">
        <v>36</v>
      </c>
      <c r="G8" s="44"/>
      <c r="H8" s="45"/>
      <c r="I8" s="80">
        <v>5718.3</v>
      </c>
      <c r="J8" s="38"/>
      <c r="K8" s="83"/>
      <c r="L8" s="38"/>
      <c r="M8" s="80"/>
      <c r="N8" s="81"/>
      <c r="O8" s="82"/>
      <c r="P8" s="81"/>
      <c r="Q8" s="91"/>
    </row>
    <row r="9" spans="2:17">
      <c r="B9" s="39">
        <v>45721</v>
      </c>
      <c r="C9" s="40" t="s">
        <v>97</v>
      </c>
      <c r="D9" s="41" t="s">
        <v>19</v>
      </c>
      <c r="E9" s="96" t="s">
        <v>98</v>
      </c>
      <c r="F9" s="43" t="s">
        <v>36</v>
      </c>
      <c r="G9" s="44"/>
      <c r="H9" s="100"/>
      <c r="I9" s="80">
        <v>6826.95</v>
      </c>
      <c r="J9" s="38"/>
      <c r="K9" s="80"/>
      <c r="L9" s="38"/>
      <c r="M9" s="80"/>
      <c r="N9" s="81"/>
      <c r="O9" s="82"/>
      <c r="P9" s="81"/>
      <c r="Q9" s="91"/>
    </row>
    <row r="10" spans="2:17">
      <c r="B10" s="39">
        <v>45726</v>
      </c>
      <c r="C10" s="47" t="s">
        <v>48</v>
      </c>
      <c r="D10" s="41" t="s">
        <v>49</v>
      </c>
      <c r="E10" s="42" t="s">
        <v>99</v>
      </c>
      <c r="F10" s="43" t="s">
        <v>36</v>
      </c>
      <c r="G10" s="44"/>
      <c r="H10" s="45"/>
      <c r="I10" s="80"/>
      <c r="J10" s="38"/>
      <c r="K10" s="80">
        <v>3734.4</v>
      </c>
      <c r="L10" s="38"/>
      <c r="M10" s="80"/>
      <c r="N10" s="81"/>
      <c r="O10" s="82"/>
      <c r="P10" s="81"/>
      <c r="Q10" s="91"/>
    </row>
    <row r="11" spans="2:17">
      <c r="B11" s="39">
        <v>45726</v>
      </c>
      <c r="C11" s="47" t="s">
        <v>46</v>
      </c>
      <c r="D11" s="41" t="s">
        <v>19</v>
      </c>
      <c r="E11" s="101" t="s">
        <v>100</v>
      </c>
      <c r="F11" s="43" t="s">
        <v>36</v>
      </c>
      <c r="G11" s="44"/>
      <c r="H11" s="45"/>
      <c r="I11" s="80"/>
      <c r="J11" s="38">
        <v>3700</v>
      </c>
      <c r="K11" s="80"/>
      <c r="L11" s="38"/>
      <c r="M11" s="80"/>
      <c r="N11" s="81"/>
      <c r="O11" s="82"/>
      <c r="P11" s="81"/>
      <c r="Q11" s="91"/>
    </row>
    <row r="12" spans="2:17">
      <c r="B12" s="39">
        <v>45726</v>
      </c>
      <c r="C12" s="47" t="s">
        <v>101</v>
      </c>
      <c r="D12" s="41" t="s">
        <v>19</v>
      </c>
      <c r="E12" s="101" t="s">
        <v>102</v>
      </c>
      <c r="F12" s="43" t="s">
        <v>36</v>
      </c>
      <c r="G12" s="44"/>
      <c r="H12" s="45"/>
      <c r="I12" s="80"/>
      <c r="J12" s="38">
        <v>1800</v>
      </c>
      <c r="K12" s="80"/>
      <c r="L12" s="38"/>
      <c r="M12" s="80"/>
      <c r="N12" s="81"/>
      <c r="O12" s="82"/>
      <c r="P12" s="81"/>
      <c r="Q12" s="91"/>
    </row>
    <row r="13" spans="2:17">
      <c r="B13" s="39">
        <v>45728</v>
      </c>
      <c r="C13" s="40" t="s">
        <v>103</v>
      </c>
      <c r="D13" s="41" t="s">
        <v>19</v>
      </c>
      <c r="E13" s="101" t="s">
        <v>104</v>
      </c>
      <c r="F13" s="43" t="s">
        <v>36</v>
      </c>
      <c r="G13" s="44"/>
      <c r="H13" s="45"/>
      <c r="I13" s="80"/>
      <c r="J13" s="38"/>
      <c r="K13" s="80">
        <v>26000</v>
      </c>
      <c r="L13" s="38"/>
      <c r="M13" s="80"/>
      <c r="N13" s="81"/>
      <c r="O13" s="82"/>
      <c r="P13" s="81"/>
      <c r="Q13" s="91"/>
    </row>
    <row r="14" spans="2:17">
      <c r="B14" s="39">
        <v>45729</v>
      </c>
      <c r="C14" s="47" t="s">
        <v>38</v>
      </c>
      <c r="D14" s="41" t="s">
        <v>19</v>
      </c>
      <c r="E14" s="101" t="s">
        <v>105</v>
      </c>
      <c r="F14" s="43" t="s">
        <v>36</v>
      </c>
      <c r="G14" s="44"/>
      <c r="H14" s="45"/>
      <c r="I14" s="80"/>
      <c r="J14" s="38">
        <v>23000.14</v>
      </c>
      <c r="K14" s="83"/>
      <c r="L14" s="38"/>
      <c r="M14" s="80"/>
      <c r="N14" s="81"/>
      <c r="O14" s="82"/>
      <c r="P14" s="81"/>
      <c r="Q14" s="91"/>
    </row>
    <row r="15" spans="2:17">
      <c r="B15" s="39">
        <v>45729</v>
      </c>
      <c r="C15" s="47" t="s">
        <v>38</v>
      </c>
      <c r="D15" s="41" t="s">
        <v>19</v>
      </c>
      <c r="E15" s="102" t="s">
        <v>106</v>
      </c>
      <c r="F15" s="43" t="s">
        <v>36</v>
      </c>
      <c r="G15" s="103"/>
      <c r="H15" s="81"/>
      <c r="I15" s="80"/>
      <c r="J15" s="38">
        <v>29460.68</v>
      </c>
      <c r="K15" s="80"/>
      <c r="L15" s="38"/>
      <c r="M15" s="80"/>
      <c r="N15" s="81"/>
      <c r="O15" s="82"/>
      <c r="P15" s="81"/>
      <c r="Q15" s="91"/>
    </row>
    <row r="16" spans="2:17">
      <c r="B16" s="39">
        <v>45733</v>
      </c>
      <c r="C16" s="47" t="s">
        <v>107</v>
      </c>
      <c r="D16" s="41" t="s">
        <v>19</v>
      </c>
      <c r="E16" s="96" t="s">
        <v>108</v>
      </c>
      <c r="F16" s="43" t="s">
        <v>36</v>
      </c>
      <c r="G16" s="44"/>
      <c r="H16" s="45"/>
      <c r="I16" s="80"/>
      <c r="J16" s="38">
        <v>1800</v>
      </c>
      <c r="K16" s="80"/>
      <c r="L16" s="38"/>
      <c r="M16" s="80"/>
      <c r="N16" s="81"/>
      <c r="O16" s="80"/>
      <c r="P16" s="81"/>
      <c r="Q16" s="91"/>
    </row>
    <row r="17" spans="2:17">
      <c r="B17" s="39">
        <v>45733</v>
      </c>
      <c r="C17" s="47" t="s">
        <v>37</v>
      </c>
      <c r="D17" s="41" t="s">
        <v>19</v>
      </c>
      <c r="E17" s="96" t="s">
        <v>109</v>
      </c>
      <c r="F17" s="43" t="s">
        <v>36</v>
      </c>
      <c r="G17" s="44"/>
      <c r="H17" s="45"/>
      <c r="I17" s="80"/>
      <c r="J17" s="38">
        <v>2500</v>
      </c>
      <c r="K17" s="80"/>
      <c r="L17" s="38"/>
      <c r="M17" s="80"/>
      <c r="N17" s="81"/>
      <c r="O17" s="80"/>
      <c r="P17" s="81"/>
      <c r="Q17" s="91"/>
    </row>
    <row r="18" spans="2:17">
      <c r="B18" s="39">
        <v>45734</v>
      </c>
      <c r="C18" s="47" t="s">
        <v>110</v>
      </c>
      <c r="D18" s="41" t="s">
        <v>49</v>
      </c>
      <c r="E18" s="104"/>
      <c r="F18" s="43" t="s">
        <v>36</v>
      </c>
      <c r="G18" s="44"/>
      <c r="H18" s="45"/>
      <c r="I18" s="80"/>
      <c r="J18" s="38"/>
      <c r="K18" s="80">
        <v>4500</v>
      </c>
      <c r="L18" s="38"/>
      <c r="M18" s="80"/>
      <c r="N18" s="81"/>
      <c r="O18" s="80"/>
      <c r="P18" s="81"/>
      <c r="Q18" s="91"/>
    </row>
    <row r="19" spans="2:17">
      <c r="B19" s="39">
        <v>45736</v>
      </c>
      <c r="C19" s="40" t="s">
        <v>111</v>
      </c>
      <c r="D19" s="41" t="s">
        <v>49</v>
      </c>
      <c r="E19" s="102" t="s">
        <v>112</v>
      </c>
      <c r="F19" s="43" t="s">
        <v>36</v>
      </c>
      <c r="G19" s="103"/>
      <c r="H19" s="81"/>
      <c r="I19" s="80">
        <v>60417.09</v>
      </c>
      <c r="J19" s="38"/>
      <c r="K19" s="80"/>
      <c r="L19" s="38"/>
      <c r="M19" s="80"/>
      <c r="N19" s="81"/>
      <c r="O19" s="82"/>
      <c r="P19" s="81"/>
      <c r="Q19" s="91"/>
    </row>
    <row r="20" spans="2:17">
      <c r="B20" s="39">
        <v>45736</v>
      </c>
      <c r="C20" s="40" t="s">
        <v>111</v>
      </c>
      <c r="D20" s="41" t="s">
        <v>49</v>
      </c>
      <c r="E20" s="96" t="s">
        <v>112</v>
      </c>
      <c r="F20" s="43" t="s">
        <v>36</v>
      </c>
      <c r="G20" s="44"/>
      <c r="H20" s="45"/>
      <c r="I20" s="80">
        <v>52361.4</v>
      </c>
      <c r="J20" s="38"/>
      <c r="K20" s="80"/>
      <c r="L20" s="38"/>
      <c r="M20" s="80"/>
      <c r="N20" s="45"/>
      <c r="O20" s="80"/>
      <c r="P20" s="81"/>
      <c r="Q20" s="91"/>
    </row>
    <row r="21" spans="2:17">
      <c r="B21" s="39">
        <v>45736</v>
      </c>
      <c r="C21" s="40" t="s">
        <v>111</v>
      </c>
      <c r="D21" s="41" t="s">
        <v>49</v>
      </c>
      <c r="E21" s="96" t="s">
        <v>104</v>
      </c>
      <c r="F21" s="43" t="s">
        <v>36</v>
      </c>
      <c r="G21" s="44"/>
      <c r="H21" s="45"/>
      <c r="I21" s="80">
        <v>52361.4</v>
      </c>
      <c r="J21" s="38"/>
      <c r="K21" s="80"/>
      <c r="L21" s="38"/>
      <c r="M21" s="80"/>
      <c r="N21" s="45"/>
      <c r="O21" s="80"/>
      <c r="P21" s="81"/>
      <c r="Q21" s="91"/>
    </row>
    <row r="22" spans="2:17">
      <c r="B22" s="39">
        <v>45736</v>
      </c>
      <c r="C22" s="40" t="s">
        <v>113</v>
      </c>
      <c r="D22" s="41" t="s">
        <v>49</v>
      </c>
      <c r="E22" s="104"/>
      <c r="F22" s="43" t="s">
        <v>36</v>
      </c>
      <c r="G22" s="44"/>
      <c r="H22" s="45"/>
      <c r="I22" s="80">
        <v>7500</v>
      </c>
      <c r="J22" s="38"/>
      <c r="K22" s="80"/>
      <c r="L22" s="38"/>
      <c r="M22" s="80"/>
      <c r="N22" s="45"/>
      <c r="O22" s="80"/>
      <c r="P22" s="81"/>
      <c r="Q22" s="91"/>
    </row>
    <row r="23" spans="2:17">
      <c r="B23" s="39">
        <v>45737</v>
      </c>
      <c r="C23" s="40" t="s">
        <v>114</v>
      </c>
      <c r="D23" s="41" t="s">
        <v>19</v>
      </c>
      <c r="E23" s="104" t="s">
        <v>115</v>
      </c>
      <c r="F23" s="43" t="s">
        <v>36</v>
      </c>
      <c r="G23" s="44"/>
      <c r="H23" s="45"/>
      <c r="I23" s="80">
        <v>11225</v>
      </c>
      <c r="J23" s="38"/>
      <c r="K23" s="80"/>
      <c r="L23" s="38"/>
      <c r="M23" s="80"/>
      <c r="N23" s="45"/>
      <c r="O23" s="80"/>
      <c r="P23" s="81"/>
      <c r="Q23" s="91"/>
    </row>
    <row r="24" spans="2:17">
      <c r="B24" s="39">
        <v>45737</v>
      </c>
      <c r="C24" s="40" t="s">
        <v>114</v>
      </c>
      <c r="D24" s="41" t="s">
        <v>19</v>
      </c>
      <c r="E24" s="104" t="s">
        <v>116</v>
      </c>
      <c r="F24" s="43" t="s">
        <v>36</v>
      </c>
      <c r="G24" s="44"/>
      <c r="H24" s="45"/>
      <c r="I24" s="80">
        <v>14832</v>
      </c>
      <c r="J24" s="38"/>
      <c r="K24" s="80"/>
      <c r="L24" s="38"/>
      <c r="M24" s="80"/>
      <c r="N24" s="45"/>
      <c r="O24" s="80"/>
      <c r="P24" s="81"/>
      <c r="Q24" s="91"/>
    </row>
    <row r="25" spans="2:17">
      <c r="B25" s="39">
        <v>45737</v>
      </c>
      <c r="C25" s="40" t="s">
        <v>114</v>
      </c>
      <c r="D25" s="41" t="s">
        <v>19</v>
      </c>
      <c r="E25" s="104" t="s">
        <v>117</v>
      </c>
      <c r="F25" s="43" t="s">
        <v>36</v>
      </c>
      <c r="G25" s="44"/>
      <c r="H25" s="45"/>
      <c r="I25" s="80">
        <v>18192</v>
      </c>
      <c r="J25" s="38"/>
      <c r="K25" s="80"/>
      <c r="L25" s="38"/>
      <c r="M25" s="80"/>
      <c r="N25" s="45"/>
      <c r="O25" s="80"/>
      <c r="P25" s="81"/>
      <c r="Q25" s="91"/>
    </row>
    <row r="26" spans="2:17">
      <c r="B26" s="39">
        <v>45737</v>
      </c>
      <c r="C26" s="40" t="s">
        <v>114</v>
      </c>
      <c r="D26" s="41" t="s">
        <v>19</v>
      </c>
      <c r="E26" s="104" t="s">
        <v>118</v>
      </c>
      <c r="F26" s="43" t="s">
        <v>36</v>
      </c>
      <c r="G26" s="44"/>
      <c r="H26" s="105"/>
      <c r="I26" s="80">
        <v>101295</v>
      </c>
      <c r="J26" s="109"/>
      <c r="K26" s="110"/>
      <c r="L26" s="38"/>
      <c r="M26" s="80"/>
      <c r="N26" s="45"/>
      <c r="O26" s="80"/>
      <c r="P26" s="81"/>
      <c r="Q26" s="91"/>
    </row>
    <row r="27" spans="2:17">
      <c r="B27" s="39">
        <v>45737</v>
      </c>
      <c r="C27" s="40" t="s">
        <v>114</v>
      </c>
      <c r="D27" s="41" t="s">
        <v>19</v>
      </c>
      <c r="E27" s="104" t="s">
        <v>119</v>
      </c>
      <c r="F27" s="43" t="s">
        <v>36</v>
      </c>
      <c r="G27" s="44"/>
      <c r="H27" s="105"/>
      <c r="I27" s="80">
        <v>133488</v>
      </c>
      <c r="J27" s="109"/>
      <c r="K27" s="110"/>
      <c r="L27" s="38"/>
      <c r="M27" s="80"/>
      <c r="N27" s="45"/>
      <c r="O27" s="80"/>
      <c r="P27" s="81"/>
      <c r="Q27" s="91"/>
    </row>
    <row r="28" spans="2:17">
      <c r="B28" s="39">
        <v>45737</v>
      </c>
      <c r="C28" s="40" t="s">
        <v>114</v>
      </c>
      <c r="D28" s="41" t="s">
        <v>19</v>
      </c>
      <c r="E28" s="104" t="s">
        <v>120</v>
      </c>
      <c r="F28" s="43" t="s">
        <v>36</v>
      </c>
      <c r="G28" s="44"/>
      <c r="H28" s="105"/>
      <c r="I28" s="80">
        <v>163728</v>
      </c>
      <c r="J28" s="109"/>
      <c r="K28" s="110"/>
      <c r="L28" s="38"/>
      <c r="M28" s="80"/>
      <c r="N28" s="45"/>
      <c r="O28" s="80"/>
      <c r="P28" s="81"/>
      <c r="Q28" s="91"/>
    </row>
    <row r="29" spans="2:17">
      <c r="B29" s="39">
        <v>45744</v>
      </c>
      <c r="C29" s="46" t="s">
        <v>46</v>
      </c>
      <c r="D29" s="41" t="s">
        <v>19</v>
      </c>
      <c r="E29" s="104" t="s">
        <v>121</v>
      </c>
      <c r="F29" s="106" t="s">
        <v>21</v>
      </c>
      <c r="G29" s="44"/>
      <c r="H29" s="105"/>
      <c r="I29" s="80"/>
      <c r="J29" s="38"/>
      <c r="K29" s="80">
        <v>1500</v>
      </c>
      <c r="L29" s="38"/>
      <c r="M29" s="80"/>
      <c r="N29" s="45"/>
      <c r="O29" s="80"/>
      <c r="P29" s="81"/>
      <c r="Q29" s="91"/>
    </row>
    <row r="30" spans="2:17">
      <c r="B30" s="39">
        <v>45747</v>
      </c>
      <c r="C30" s="107" t="s">
        <v>48</v>
      </c>
      <c r="D30" s="39" t="s">
        <v>49</v>
      </c>
      <c r="E30" s="39" t="s">
        <v>122</v>
      </c>
      <c r="F30" s="106" t="s">
        <v>21</v>
      </c>
      <c r="G30" s="44"/>
      <c r="H30" s="105"/>
      <c r="I30" s="110"/>
      <c r="J30" s="109"/>
      <c r="K30" s="80">
        <v>22056.3</v>
      </c>
      <c r="L30" s="38"/>
      <c r="M30" s="80"/>
      <c r="N30" s="45"/>
      <c r="O30" s="80"/>
      <c r="P30" s="81"/>
      <c r="Q30" s="91"/>
    </row>
    <row r="31" spans="2:17">
      <c r="B31" s="39"/>
      <c r="C31" s="47"/>
      <c r="D31" s="41"/>
      <c r="E31" s="96"/>
      <c r="F31" s="108"/>
      <c r="G31" s="44"/>
      <c r="H31" s="45"/>
      <c r="I31" s="80"/>
      <c r="J31" s="38"/>
      <c r="K31" s="80"/>
      <c r="L31" s="38"/>
      <c r="M31" s="80"/>
      <c r="N31" s="45"/>
      <c r="O31" s="80"/>
      <c r="P31" s="81"/>
      <c r="Q31" s="91"/>
    </row>
    <row r="32" spans="2:17">
      <c r="B32" s="39"/>
      <c r="C32" s="47"/>
      <c r="D32" s="41"/>
      <c r="E32" s="96"/>
      <c r="F32" s="108"/>
      <c r="G32" s="44"/>
      <c r="H32" s="45"/>
      <c r="I32" s="80"/>
      <c r="J32" s="38"/>
      <c r="K32" s="80"/>
      <c r="L32" s="38"/>
      <c r="M32" s="80"/>
      <c r="N32" s="45"/>
      <c r="O32" s="80"/>
      <c r="P32" s="81"/>
      <c r="Q32" s="91"/>
    </row>
    <row r="33" ht="15.15" spans="2:17">
      <c r="B33" s="39"/>
      <c r="C33" s="47"/>
      <c r="D33" s="41"/>
      <c r="E33" s="96"/>
      <c r="F33" s="99"/>
      <c r="G33" s="44"/>
      <c r="H33" s="45"/>
      <c r="I33" s="80"/>
      <c r="J33" s="38"/>
      <c r="K33" s="80"/>
      <c r="L33" s="38"/>
      <c r="M33" s="80"/>
      <c r="N33" s="45"/>
      <c r="O33" s="80"/>
      <c r="P33" s="81"/>
      <c r="Q33" s="91"/>
    </row>
    <row r="34" ht="15.15" spans="2:17">
      <c r="B34" s="50"/>
      <c r="C34" s="51"/>
      <c r="D34" s="52"/>
      <c r="E34" s="53"/>
      <c r="F34" s="52"/>
      <c r="G34" s="54">
        <f t="shared" ref="G34:Q34" si="1">SUM(G8:G33)</f>
        <v>0</v>
      </c>
      <c r="H34" s="55">
        <f t="shared" si="1"/>
        <v>0</v>
      </c>
      <c r="I34" s="84">
        <f t="shared" si="1"/>
        <v>627945.14</v>
      </c>
      <c r="J34" s="85">
        <f t="shared" si="1"/>
        <v>62260.82</v>
      </c>
      <c r="K34" s="86">
        <f t="shared" si="1"/>
        <v>57790.7</v>
      </c>
      <c r="L34" s="87">
        <f t="shared" si="1"/>
        <v>0</v>
      </c>
      <c r="M34" s="88">
        <f t="shared" si="1"/>
        <v>0</v>
      </c>
      <c r="N34" s="89">
        <f t="shared" si="1"/>
        <v>0</v>
      </c>
      <c r="O34" s="89">
        <f t="shared" si="1"/>
        <v>0</v>
      </c>
      <c r="P34" s="55">
        <f t="shared" si="1"/>
        <v>0</v>
      </c>
      <c r="Q34" s="92">
        <f t="shared" si="1"/>
        <v>0</v>
      </c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="2" customFormat="1" spans="1:22">
      <c r="A40" s="6"/>
      <c r="B40" s="3"/>
      <c r="C40"/>
      <c r="D40" s="1"/>
      <c r="E40"/>
      <c r="F40" s="4"/>
      <c r="G40" s="5"/>
      <c r="H40"/>
      <c r="I40" s="6"/>
      <c r="J40" s="1"/>
      <c r="K40" s="1"/>
      <c r="L40" s="1"/>
      <c r="M40" s="1"/>
      <c r="N40" s="1"/>
      <c r="O40" s="1"/>
      <c r="P40" s="7"/>
      <c r="Q40" s="1"/>
      <c r="R40"/>
      <c r="S40"/>
      <c r="T40"/>
      <c r="U40"/>
      <c r="V40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37"/>
  <sheetViews>
    <sheetView zoomScale="85" zoomScaleNormal="85" workbookViewId="0">
      <pane xSplit="5" ySplit="7" topLeftCell="F8" activePane="bottomRight" state="frozen"/>
      <selection/>
      <selection pane="topRight"/>
      <selection pane="bottomLeft"/>
      <selection pane="bottomRight" activeCell="K27" sqref="K27:K29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123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867139.57</v>
      </c>
      <c r="E3" s="17"/>
      <c r="F3" s="18">
        <f>D3+D4</f>
        <v>916227.21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49087.64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G31</f>
        <v>0</v>
      </c>
      <c r="H5" s="32">
        <f t="shared" si="0"/>
        <v>0</v>
      </c>
      <c r="I5" s="73">
        <f t="shared" si="0"/>
        <v>8863.37</v>
      </c>
      <c r="J5" s="32">
        <f t="shared" si="0"/>
        <v>49087.64</v>
      </c>
      <c r="K5" s="73">
        <f t="shared" si="0"/>
        <v>858276.2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45754</v>
      </c>
      <c r="C8" s="47" t="s">
        <v>124</v>
      </c>
      <c r="D8" s="41" t="s">
        <v>19</v>
      </c>
      <c r="E8" s="42" t="s">
        <v>125</v>
      </c>
      <c r="F8" s="49" t="s">
        <v>36</v>
      </c>
      <c r="G8" s="44"/>
      <c r="H8" s="45"/>
      <c r="I8" s="80"/>
      <c r="J8" s="38"/>
      <c r="K8" s="80">
        <v>1470</v>
      </c>
      <c r="L8" s="38"/>
      <c r="M8" s="80"/>
      <c r="N8" s="81"/>
      <c r="O8" s="82"/>
      <c r="P8" s="81"/>
      <c r="Q8" s="91"/>
    </row>
    <row r="9" spans="2:17">
      <c r="B9" s="39">
        <v>45757</v>
      </c>
      <c r="C9" s="40" t="s">
        <v>111</v>
      </c>
      <c r="D9" s="41" t="s">
        <v>49</v>
      </c>
      <c r="E9" s="42" t="s">
        <v>126</v>
      </c>
      <c r="F9" s="49" t="s">
        <v>36</v>
      </c>
      <c r="G9" s="44"/>
      <c r="H9" s="45"/>
      <c r="I9" s="80"/>
      <c r="J9" s="38"/>
      <c r="K9" s="80">
        <v>14909.34</v>
      </c>
      <c r="L9" s="38"/>
      <c r="M9" s="80"/>
      <c r="N9" s="81"/>
      <c r="O9" s="82"/>
      <c r="P9" s="81"/>
      <c r="Q9" s="91"/>
    </row>
    <row r="10" spans="2:17">
      <c r="B10" s="39">
        <v>45757</v>
      </c>
      <c r="C10" s="40" t="s">
        <v>111</v>
      </c>
      <c r="D10" s="41" t="s">
        <v>49</v>
      </c>
      <c r="E10" s="42" t="s">
        <v>127</v>
      </c>
      <c r="F10" s="49" t="s">
        <v>36</v>
      </c>
      <c r="G10" s="44"/>
      <c r="H10" s="45"/>
      <c r="I10" s="80"/>
      <c r="J10" s="38"/>
      <c r="K10" s="80">
        <v>94928.36</v>
      </c>
      <c r="L10" s="38"/>
      <c r="M10" s="80"/>
      <c r="N10" s="81"/>
      <c r="O10" s="82"/>
      <c r="P10" s="81"/>
      <c r="Q10" s="91"/>
    </row>
    <row r="11" spans="2:17">
      <c r="B11" s="39">
        <v>45757</v>
      </c>
      <c r="C11" s="40" t="s">
        <v>111</v>
      </c>
      <c r="D11" s="41" t="s">
        <v>49</v>
      </c>
      <c r="E11" s="42" t="s">
        <v>128</v>
      </c>
      <c r="F11" s="49" t="s">
        <v>36</v>
      </c>
      <c r="G11" s="44"/>
      <c r="H11" s="45"/>
      <c r="I11" s="80"/>
      <c r="J11" s="38"/>
      <c r="K11" s="80">
        <v>14965.8</v>
      </c>
      <c r="L11" s="38"/>
      <c r="M11" s="80"/>
      <c r="N11" s="81"/>
      <c r="O11" s="82"/>
      <c r="P11" s="81"/>
      <c r="Q11" s="91"/>
    </row>
    <row r="12" spans="2:17">
      <c r="B12" s="39">
        <v>45757</v>
      </c>
      <c r="C12" s="40" t="s">
        <v>111</v>
      </c>
      <c r="D12" s="41" t="s">
        <v>49</v>
      </c>
      <c r="E12" s="42" t="s">
        <v>129</v>
      </c>
      <c r="F12" s="49" t="s">
        <v>36</v>
      </c>
      <c r="G12" s="44"/>
      <c r="H12" s="45"/>
      <c r="I12" s="80"/>
      <c r="J12" s="38"/>
      <c r="K12" s="80">
        <v>95287.89</v>
      </c>
      <c r="L12" s="38"/>
      <c r="M12" s="80"/>
      <c r="N12" s="81"/>
      <c r="O12" s="82"/>
      <c r="P12" s="81"/>
      <c r="Q12" s="91"/>
    </row>
    <row r="13" spans="2:17">
      <c r="B13" s="39">
        <v>45757</v>
      </c>
      <c r="C13" s="40" t="s">
        <v>111</v>
      </c>
      <c r="D13" s="41" t="s">
        <v>49</v>
      </c>
      <c r="E13" s="42" t="s">
        <v>130</v>
      </c>
      <c r="F13" s="49" t="s">
        <v>36</v>
      </c>
      <c r="G13" s="44"/>
      <c r="H13" s="45"/>
      <c r="I13" s="80"/>
      <c r="J13" s="38"/>
      <c r="K13" s="80">
        <v>14871.89</v>
      </c>
      <c r="L13" s="38"/>
      <c r="M13" s="80"/>
      <c r="N13" s="81"/>
      <c r="O13" s="82"/>
      <c r="P13" s="81"/>
      <c r="Q13" s="91"/>
    </row>
    <row r="14" spans="2:17">
      <c r="B14" s="39">
        <v>45757</v>
      </c>
      <c r="C14" s="40" t="s">
        <v>111</v>
      </c>
      <c r="D14" s="41" t="s">
        <v>49</v>
      </c>
      <c r="E14" s="42" t="s">
        <v>131</v>
      </c>
      <c r="F14" s="49" t="s">
        <v>36</v>
      </c>
      <c r="G14" s="44"/>
      <c r="H14" s="45"/>
      <c r="I14" s="80"/>
      <c r="J14" s="38"/>
      <c r="K14" s="80">
        <v>94692.69</v>
      </c>
      <c r="L14" s="38"/>
      <c r="M14" s="80"/>
      <c r="N14" s="81"/>
      <c r="O14" s="82"/>
      <c r="P14" s="81"/>
      <c r="Q14" s="91"/>
    </row>
    <row r="15" spans="2:17">
      <c r="B15" s="39">
        <v>45758</v>
      </c>
      <c r="C15" s="47" t="s">
        <v>38</v>
      </c>
      <c r="D15" s="41" t="s">
        <v>19</v>
      </c>
      <c r="E15" s="42" t="s">
        <v>132</v>
      </c>
      <c r="F15" s="49" t="s">
        <v>36</v>
      </c>
      <c r="G15" s="44"/>
      <c r="H15" s="45"/>
      <c r="I15" s="80"/>
      <c r="J15" s="38">
        <v>29197.64</v>
      </c>
      <c r="K15" s="80"/>
      <c r="L15" s="38"/>
      <c r="M15" s="80"/>
      <c r="N15" s="81"/>
      <c r="O15" s="82"/>
      <c r="P15" s="81"/>
      <c r="Q15" s="91"/>
    </row>
    <row r="16" spans="2:17">
      <c r="B16" s="39">
        <v>45761</v>
      </c>
      <c r="C16" s="40" t="s">
        <v>95</v>
      </c>
      <c r="D16" s="41" t="s">
        <v>19</v>
      </c>
      <c r="E16" s="42" t="s">
        <v>133</v>
      </c>
      <c r="F16" s="49" t="s">
        <v>36</v>
      </c>
      <c r="G16" s="44"/>
      <c r="H16" s="45"/>
      <c r="I16" s="80">
        <v>8863.37</v>
      </c>
      <c r="J16" s="38"/>
      <c r="K16" s="80"/>
      <c r="L16" s="38"/>
      <c r="M16" s="80"/>
      <c r="N16" s="81"/>
      <c r="O16" s="82"/>
      <c r="P16" s="81"/>
      <c r="Q16" s="91"/>
    </row>
    <row r="17" spans="2:17">
      <c r="B17" s="39">
        <v>45761</v>
      </c>
      <c r="C17" s="46" t="s">
        <v>134</v>
      </c>
      <c r="D17" s="41" t="s">
        <v>19</v>
      </c>
      <c r="E17" s="42" t="s">
        <v>135</v>
      </c>
      <c r="F17" s="49" t="s">
        <v>36</v>
      </c>
      <c r="G17" s="44"/>
      <c r="H17" s="45"/>
      <c r="I17" s="80"/>
      <c r="J17" s="38"/>
      <c r="K17" s="80">
        <v>2700</v>
      </c>
      <c r="L17" s="38"/>
      <c r="M17" s="80"/>
      <c r="N17" s="81"/>
      <c r="O17" s="82"/>
      <c r="P17" s="81"/>
      <c r="Q17" s="91"/>
    </row>
    <row r="18" spans="2:17">
      <c r="B18" s="39">
        <v>45764</v>
      </c>
      <c r="C18" s="47" t="s">
        <v>136</v>
      </c>
      <c r="D18" s="41" t="s">
        <v>19</v>
      </c>
      <c r="E18" s="42" t="s">
        <v>137</v>
      </c>
      <c r="F18" s="49" t="s">
        <v>36</v>
      </c>
      <c r="G18" s="44"/>
      <c r="H18" s="45"/>
      <c r="I18" s="80"/>
      <c r="J18" s="38">
        <v>890</v>
      </c>
      <c r="K18" s="80"/>
      <c r="L18" s="38"/>
      <c r="M18" s="80"/>
      <c r="N18" s="81"/>
      <c r="O18" s="82"/>
      <c r="P18" s="81"/>
      <c r="Q18" s="91"/>
    </row>
    <row r="19" spans="2:17">
      <c r="B19" s="39">
        <v>45764</v>
      </c>
      <c r="C19" s="47" t="s">
        <v>136</v>
      </c>
      <c r="D19" s="41" t="s">
        <v>19</v>
      </c>
      <c r="E19" s="96" t="s">
        <v>138</v>
      </c>
      <c r="F19" s="49" t="s">
        <v>36</v>
      </c>
      <c r="G19" s="44"/>
      <c r="H19" s="97"/>
      <c r="I19" s="80"/>
      <c r="J19" s="38">
        <v>19000</v>
      </c>
      <c r="K19" s="80"/>
      <c r="L19" s="38"/>
      <c r="M19" s="80"/>
      <c r="N19" s="81"/>
      <c r="O19" s="82"/>
      <c r="P19" s="81"/>
      <c r="Q19" s="91"/>
    </row>
    <row r="20" spans="2:17">
      <c r="B20" s="39">
        <v>45765</v>
      </c>
      <c r="C20" s="40" t="s">
        <v>139</v>
      </c>
      <c r="D20" s="41" t="s">
        <v>19</v>
      </c>
      <c r="E20" s="96" t="s">
        <v>140</v>
      </c>
      <c r="F20" s="49" t="s">
        <v>36</v>
      </c>
      <c r="G20" s="44"/>
      <c r="H20" s="97"/>
      <c r="I20" s="80"/>
      <c r="J20" s="38"/>
      <c r="K20" s="80">
        <v>21120</v>
      </c>
      <c r="L20" s="38"/>
      <c r="M20" s="80"/>
      <c r="N20" s="81"/>
      <c r="O20" s="82"/>
      <c r="P20" s="81"/>
      <c r="Q20" s="91"/>
    </row>
    <row r="21" spans="2:17">
      <c r="B21" s="39">
        <v>45765</v>
      </c>
      <c r="C21" s="40" t="s">
        <v>139</v>
      </c>
      <c r="D21" s="41" t="s">
        <v>19</v>
      </c>
      <c r="E21" s="96" t="s">
        <v>141</v>
      </c>
      <c r="F21" s="49" t="s">
        <v>36</v>
      </c>
      <c r="G21" s="44"/>
      <c r="H21" s="97"/>
      <c r="I21" s="80"/>
      <c r="J21" s="38"/>
      <c r="K21" s="80">
        <v>190080</v>
      </c>
      <c r="L21" s="38"/>
      <c r="M21" s="80"/>
      <c r="N21" s="81"/>
      <c r="O21" s="82"/>
      <c r="P21" s="81"/>
      <c r="Q21" s="91"/>
    </row>
    <row r="22" spans="2:17">
      <c r="B22" s="39">
        <v>45765</v>
      </c>
      <c r="C22" s="40" t="s">
        <v>139</v>
      </c>
      <c r="D22" s="41" t="s">
        <v>19</v>
      </c>
      <c r="E22" s="96" t="s">
        <v>142</v>
      </c>
      <c r="F22" s="49" t="s">
        <v>36</v>
      </c>
      <c r="G22" s="44"/>
      <c r="H22" s="97"/>
      <c r="I22" s="80"/>
      <c r="J22" s="38"/>
      <c r="K22" s="80">
        <v>14160</v>
      </c>
      <c r="L22" s="38"/>
      <c r="M22" s="80"/>
      <c r="N22" s="81"/>
      <c r="O22" s="82"/>
      <c r="P22" s="81"/>
      <c r="Q22" s="91"/>
    </row>
    <row r="23" spans="2:17">
      <c r="B23" s="39">
        <v>45765</v>
      </c>
      <c r="C23" s="40" t="s">
        <v>139</v>
      </c>
      <c r="D23" s="41" t="s">
        <v>19</v>
      </c>
      <c r="E23" s="96" t="s">
        <v>143</v>
      </c>
      <c r="F23" s="49" t="s">
        <v>36</v>
      </c>
      <c r="G23" s="44"/>
      <c r="H23" s="97"/>
      <c r="I23" s="80"/>
      <c r="J23" s="38"/>
      <c r="K23" s="80">
        <v>127440</v>
      </c>
      <c r="L23" s="38"/>
      <c r="M23" s="80"/>
      <c r="N23" s="81"/>
      <c r="O23" s="82"/>
      <c r="P23" s="81"/>
      <c r="Q23" s="91"/>
    </row>
    <row r="24" spans="2:17">
      <c r="B24" s="39">
        <v>45765</v>
      </c>
      <c r="C24" s="40" t="s">
        <v>139</v>
      </c>
      <c r="D24" s="41" t="s">
        <v>19</v>
      </c>
      <c r="E24" s="96" t="s">
        <v>144</v>
      </c>
      <c r="F24" s="49" t="s">
        <v>36</v>
      </c>
      <c r="G24" s="44"/>
      <c r="H24" s="97"/>
      <c r="I24" s="80"/>
      <c r="J24" s="38"/>
      <c r="K24" s="80">
        <v>10512.5</v>
      </c>
      <c r="L24" s="38"/>
      <c r="M24" s="80"/>
      <c r="N24" s="81"/>
      <c r="O24" s="82"/>
      <c r="P24" s="81"/>
      <c r="Q24" s="91"/>
    </row>
    <row r="25" spans="2:17">
      <c r="B25" s="39">
        <v>45765</v>
      </c>
      <c r="C25" s="40" t="s">
        <v>139</v>
      </c>
      <c r="D25" s="41" t="s">
        <v>19</v>
      </c>
      <c r="E25" s="96" t="s">
        <v>145</v>
      </c>
      <c r="F25" s="49" t="s">
        <v>36</v>
      </c>
      <c r="G25" s="44"/>
      <c r="H25" s="97"/>
      <c r="I25" s="80"/>
      <c r="J25" s="38"/>
      <c r="K25" s="80">
        <v>94612.5</v>
      </c>
      <c r="L25" s="38"/>
      <c r="M25" s="80"/>
      <c r="N25" s="81"/>
      <c r="O25" s="82"/>
      <c r="P25" s="81"/>
      <c r="Q25" s="91"/>
    </row>
    <row r="26" spans="2:17">
      <c r="B26" s="39">
        <v>45767</v>
      </c>
      <c r="C26" s="40" t="s">
        <v>146</v>
      </c>
      <c r="D26" s="41" t="s">
        <v>49</v>
      </c>
      <c r="E26" s="96" t="s">
        <v>147</v>
      </c>
      <c r="F26" s="49" t="s">
        <v>36</v>
      </c>
      <c r="G26" s="44"/>
      <c r="H26" s="97"/>
      <c r="I26" s="80"/>
      <c r="J26" s="38"/>
      <c r="K26" s="80">
        <v>37921.13</v>
      </c>
      <c r="L26" s="38"/>
      <c r="M26" s="80"/>
      <c r="N26" s="81"/>
      <c r="O26" s="82"/>
      <c r="P26" s="81"/>
      <c r="Q26" s="91"/>
    </row>
    <row r="27" spans="2:17">
      <c r="B27" s="39">
        <v>45771</v>
      </c>
      <c r="C27" s="46" t="s">
        <v>91</v>
      </c>
      <c r="D27" s="41" t="s">
        <v>19</v>
      </c>
      <c r="E27" s="96" t="s">
        <v>148</v>
      </c>
      <c r="F27" s="49" t="s">
        <v>36</v>
      </c>
      <c r="G27" s="44"/>
      <c r="H27" s="97"/>
      <c r="I27" s="80"/>
      <c r="J27" s="38"/>
      <c r="K27" s="80">
        <v>2500</v>
      </c>
      <c r="L27" s="38"/>
      <c r="M27" s="80"/>
      <c r="N27" s="81"/>
      <c r="O27" s="82"/>
      <c r="P27" s="81"/>
      <c r="Q27" s="91"/>
    </row>
    <row r="28" spans="2:17">
      <c r="B28" s="39">
        <v>45771</v>
      </c>
      <c r="C28" s="46" t="s">
        <v>149</v>
      </c>
      <c r="D28" s="41" t="s">
        <v>19</v>
      </c>
      <c r="E28" s="96"/>
      <c r="F28" s="49" t="s">
        <v>36</v>
      </c>
      <c r="G28" s="44"/>
      <c r="H28" s="97"/>
      <c r="I28" s="80"/>
      <c r="J28" s="38"/>
      <c r="K28" s="80">
        <v>1800</v>
      </c>
      <c r="L28" s="38"/>
      <c r="M28" s="80"/>
      <c r="N28" s="81"/>
      <c r="O28" s="82"/>
      <c r="P28" s="81"/>
      <c r="Q28" s="91"/>
    </row>
    <row r="29" spans="2:17">
      <c r="B29" s="39">
        <v>45775</v>
      </c>
      <c r="C29" s="47" t="s">
        <v>48</v>
      </c>
      <c r="D29" s="41" t="s">
        <v>49</v>
      </c>
      <c r="E29" s="96" t="s">
        <v>150</v>
      </c>
      <c r="F29" s="49" t="s">
        <v>36</v>
      </c>
      <c r="G29" s="44"/>
      <c r="H29" s="97"/>
      <c r="I29" s="80"/>
      <c r="J29" s="38"/>
      <c r="K29" s="80">
        <v>24304.1</v>
      </c>
      <c r="L29" s="38"/>
      <c r="M29" s="80"/>
      <c r="N29" s="81"/>
      <c r="O29" s="82"/>
      <c r="P29" s="81"/>
      <c r="Q29" s="91"/>
    </row>
    <row r="30" ht="15.15" spans="2:17">
      <c r="B30" s="39"/>
      <c r="C30" s="47"/>
      <c r="D30" s="41"/>
      <c r="E30" s="96"/>
      <c r="F30" s="49"/>
      <c r="G30" s="44"/>
      <c r="H30" s="97"/>
      <c r="I30" s="80"/>
      <c r="J30" s="38"/>
      <c r="K30" s="80"/>
      <c r="L30" s="38"/>
      <c r="M30" s="80"/>
      <c r="N30" s="81"/>
      <c r="O30" s="82"/>
      <c r="P30" s="81"/>
      <c r="Q30" s="91"/>
    </row>
    <row r="31" ht="15.15" spans="2:17">
      <c r="B31" s="50"/>
      <c r="C31" s="51"/>
      <c r="D31" s="52"/>
      <c r="E31" s="53"/>
      <c r="F31" s="52"/>
      <c r="G31" s="54">
        <f t="shared" ref="G31:Q31" si="1">SUM(G8:G30)</f>
        <v>0</v>
      </c>
      <c r="H31" s="55">
        <f t="shared" si="1"/>
        <v>0</v>
      </c>
      <c r="I31" s="84">
        <f t="shared" si="1"/>
        <v>8863.37</v>
      </c>
      <c r="J31" s="85">
        <f t="shared" si="1"/>
        <v>49087.64</v>
      </c>
      <c r="K31" s="86">
        <f t="shared" si="1"/>
        <v>858276.2</v>
      </c>
      <c r="L31" s="87">
        <f t="shared" si="1"/>
        <v>0</v>
      </c>
      <c r="M31" s="88">
        <f t="shared" si="1"/>
        <v>0</v>
      </c>
      <c r="N31" s="89">
        <f t="shared" si="1"/>
        <v>0</v>
      </c>
      <c r="O31" s="89">
        <f t="shared" si="1"/>
        <v>0</v>
      </c>
      <c r="P31" s="55">
        <f t="shared" si="1"/>
        <v>0</v>
      </c>
      <c r="Q31" s="92">
        <f t="shared" si="1"/>
        <v>0</v>
      </c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="2" customFormat="1" spans="1:22">
      <c r="A37" s="6"/>
      <c r="B37" s="3"/>
      <c r="C37"/>
      <c r="D37" s="1"/>
      <c r="E37"/>
      <c r="F37" s="4"/>
      <c r="G37" s="5"/>
      <c r="H37"/>
      <c r="I37" s="6"/>
      <c r="J37" s="1"/>
      <c r="K37" s="1"/>
      <c r="L37" s="1"/>
      <c r="M37" s="1"/>
      <c r="N37" s="1"/>
      <c r="O37" s="1"/>
      <c r="P37" s="7"/>
      <c r="Q37" s="1"/>
      <c r="R37"/>
      <c r="S37"/>
      <c r="T37"/>
      <c r="U37"/>
      <c r="V37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2"/>
  <sheetViews>
    <sheetView zoomScale="90" zoomScaleNormal="90" workbookViewId="0">
      <pane xSplit="5" ySplit="7" topLeftCell="F13" activePane="bottomRight" state="frozen"/>
      <selection/>
      <selection pane="topRight"/>
      <selection pane="bottomLeft"/>
      <selection pane="bottomRight" activeCell="F27" sqref="F27:F28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25.7777777777778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151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767576.22</v>
      </c>
      <c r="E3" s="17"/>
      <c r="F3" s="18">
        <f>D3+D4</f>
        <v>812269.12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44692.9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G36</f>
        <v>0</v>
      </c>
      <c r="H5" s="32">
        <f t="shared" si="0"/>
        <v>0</v>
      </c>
      <c r="I5" s="73">
        <f t="shared" si="0"/>
        <v>323457</v>
      </c>
      <c r="J5" s="32">
        <f t="shared" si="0"/>
        <v>44692.9</v>
      </c>
      <c r="K5" s="73">
        <f t="shared" si="0"/>
        <v>444119.22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45778</v>
      </c>
      <c r="C8" s="47" t="s">
        <v>152</v>
      </c>
      <c r="D8" s="41" t="s">
        <v>19</v>
      </c>
      <c r="E8" s="42" t="s">
        <v>153</v>
      </c>
      <c r="F8" s="98" t="s">
        <v>36</v>
      </c>
      <c r="G8" s="44"/>
      <c r="H8" s="45"/>
      <c r="I8" s="80"/>
      <c r="J8" s="38">
        <v>2352</v>
      </c>
      <c r="K8" s="80"/>
      <c r="L8" s="38"/>
      <c r="M8" s="80"/>
      <c r="N8" s="81"/>
      <c r="O8" s="82"/>
      <c r="P8" s="81"/>
      <c r="Q8" s="91"/>
    </row>
    <row r="9" spans="2:17">
      <c r="B9" s="39">
        <v>45784</v>
      </c>
      <c r="C9" s="40" t="s">
        <v>154</v>
      </c>
      <c r="D9" s="41" t="s">
        <v>19</v>
      </c>
      <c r="E9" s="42" t="s">
        <v>155</v>
      </c>
      <c r="F9" s="98" t="s">
        <v>36</v>
      </c>
      <c r="G9" s="44"/>
      <c r="H9" s="45"/>
      <c r="I9" s="80"/>
      <c r="J9" s="38"/>
      <c r="K9" s="80">
        <v>5767.3</v>
      </c>
      <c r="L9" s="38"/>
      <c r="M9" s="80"/>
      <c r="N9" s="81"/>
      <c r="O9" s="82"/>
      <c r="P9" s="81"/>
      <c r="Q9" s="91"/>
    </row>
    <row r="10" spans="2:17">
      <c r="B10" s="39">
        <v>45785</v>
      </c>
      <c r="C10" s="40" t="s">
        <v>156</v>
      </c>
      <c r="D10" s="41" t="s">
        <v>49</v>
      </c>
      <c r="E10" s="42" t="s">
        <v>157</v>
      </c>
      <c r="F10" s="94" t="s">
        <v>36</v>
      </c>
      <c r="G10" s="44"/>
      <c r="H10" s="45"/>
      <c r="I10" s="80"/>
      <c r="J10" s="38"/>
      <c r="K10" s="80">
        <v>64465.91</v>
      </c>
      <c r="L10" s="38"/>
      <c r="M10" s="80"/>
      <c r="N10" s="81"/>
      <c r="O10" s="82"/>
      <c r="P10" s="81"/>
      <c r="Q10" s="91"/>
    </row>
    <row r="11" spans="2:17">
      <c r="B11" s="39">
        <v>45786</v>
      </c>
      <c r="C11" s="47" t="s">
        <v>158</v>
      </c>
      <c r="D11" s="41" t="s">
        <v>19</v>
      </c>
      <c r="E11" s="42" t="s">
        <v>159</v>
      </c>
      <c r="F11" s="94" t="s">
        <v>36</v>
      </c>
      <c r="G11" s="44"/>
      <c r="H11" s="45"/>
      <c r="I11" s="80"/>
      <c r="J11" s="38">
        <v>2030</v>
      </c>
      <c r="K11" s="83"/>
      <c r="L11" s="38"/>
      <c r="M11" s="80"/>
      <c r="N11" s="81"/>
      <c r="O11" s="82"/>
      <c r="P11" s="81"/>
      <c r="Q11" s="91"/>
    </row>
    <row r="12" spans="2:17">
      <c r="B12" s="39">
        <v>45789</v>
      </c>
      <c r="C12" s="40" t="s">
        <v>111</v>
      </c>
      <c r="D12" s="41" t="s">
        <v>49</v>
      </c>
      <c r="E12" s="42"/>
      <c r="F12" s="94" t="s">
        <v>36</v>
      </c>
      <c r="G12" s="44"/>
      <c r="H12" s="45"/>
      <c r="I12" s="80"/>
      <c r="J12" s="38"/>
      <c r="K12" s="80">
        <v>8746.1</v>
      </c>
      <c r="L12" s="38"/>
      <c r="M12" s="80"/>
      <c r="N12" s="81"/>
      <c r="O12" s="82"/>
      <c r="P12" s="81"/>
      <c r="Q12" s="91"/>
    </row>
    <row r="13" spans="2:17">
      <c r="B13" s="39">
        <v>45790</v>
      </c>
      <c r="C13" s="47" t="s">
        <v>160</v>
      </c>
      <c r="D13" s="41" t="s">
        <v>19</v>
      </c>
      <c r="E13" s="42"/>
      <c r="F13" s="94" t="s">
        <v>36</v>
      </c>
      <c r="G13" s="44"/>
      <c r="H13" s="45"/>
      <c r="I13" s="80"/>
      <c r="J13" s="38"/>
      <c r="K13" s="80">
        <v>3200</v>
      </c>
      <c r="L13" s="38"/>
      <c r="M13" s="80"/>
      <c r="N13" s="81"/>
      <c r="O13" s="82"/>
      <c r="P13" s="81"/>
      <c r="Q13" s="91"/>
    </row>
    <row r="14" spans="2:17">
      <c r="B14" s="39">
        <v>45797</v>
      </c>
      <c r="C14" s="40" t="s">
        <v>111</v>
      </c>
      <c r="D14" s="41" t="s">
        <v>49</v>
      </c>
      <c r="E14" s="42" t="s">
        <v>161</v>
      </c>
      <c r="F14" s="94" t="s">
        <v>36</v>
      </c>
      <c r="G14" s="44"/>
      <c r="H14" s="45"/>
      <c r="I14" s="80"/>
      <c r="J14" s="38"/>
      <c r="K14" s="80">
        <v>15422.86</v>
      </c>
      <c r="L14" s="38"/>
      <c r="M14" s="80"/>
      <c r="N14" s="81"/>
      <c r="O14" s="82"/>
      <c r="P14" s="81"/>
      <c r="Q14" s="91"/>
    </row>
    <row r="15" spans="2:17">
      <c r="B15" s="39">
        <v>45797</v>
      </c>
      <c r="C15" s="40" t="s">
        <v>111</v>
      </c>
      <c r="D15" s="41" t="s">
        <v>49</v>
      </c>
      <c r="E15" s="42" t="s">
        <v>162</v>
      </c>
      <c r="F15" s="94" t="s">
        <v>36</v>
      </c>
      <c r="G15" s="44"/>
      <c r="H15" s="45"/>
      <c r="I15" s="80"/>
      <c r="J15" s="38"/>
      <c r="K15" s="80">
        <v>98452.67</v>
      </c>
      <c r="L15" s="38"/>
      <c r="M15" s="80"/>
      <c r="N15" s="81"/>
      <c r="O15" s="82"/>
      <c r="P15" s="81"/>
      <c r="Q15" s="91"/>
    </row>
    <row r="16" spans="2:17">
      <c r="B16" s="39">
        <v>45797</v>
      </c>
      <c r="C16" s="40" t="s">
        <v>111</v>
      </c>
      <c r="D16" s="41" t="s">
        <v>49</v>
      </c>
      <c r="E16" s="42" t="s">
        <v>163</v>
      </c>
      <c r="F16" s="94" t="s">
        <v>36</v>
      </c>
      <c r="G16" s="44"/>
      <c r="H16" s="45"/>
      <c r="I16" s="80"/>
      <c r="J16" s="38"/>
      <c r="K16" s="80">
        <v>15470.69</v>
      </c>
      <c r="L16" s="38"/>
      <c r="M16" s="80"/>
      <c r="N16" s="81"/>
      <c r="O16" s="82"/>
      <c r="P16" s="81"/>
      <c r="Q16" s="91"/>
    </row>
    <row r="17" spans="2:17">
      <c r="B17" s="39">
        <v>45797</v>
      </c>
      <c r="C17" s="40" t="s">
        <v>111</v>
      </c>
      <c r="D17" s="41" t="s">
        <v>49</v>
      </c>
      <c r="E17" s="42" t="s">
        <v>164</v>
      </c>
      <c r="F17" s="94" t="s">
        <v>36</v>
      </c>
      <c r="G17" s="44"/>
      <c r="H17" s="45"/>
      <c r="I17" s="80"/>
      <c r="J17" s="38"/>
      <c r="K17" s="80">
        <v>98502.46</v>
      </c>
      <c r="L17" s="38"/>
      <c r="M17" s="80"/>
      <c r="N17" s="81"/>
      <c r="O17" s="82"/>
      <c r="P17" s="81"/>
      <c r="Q17" s="91"/>
    </row>
    <row r="18" spans="2:17">
      <c r="B18" s="39">
        <v>45797</v>
      </c>
      <c r="C18" s="40" t="s">
        <v>111</v>
      </c>
      <c r="D18" s="41" t="s">
        <v>49</v>
      </c>
      <c r="E18" s="42" t="s">
        <v>165</v>
      </c>
      <c r="F18" s="94" t="s">
        <v>36</v>
      </c>
      <c r="G18" s="44"/>
      <c r="H18" s="45"/>
      <c r="I18" s="80"/>
      <c r="J18" s="38"/>
      <c r="K18" s="80">
        <v>15429.93</v>
      </c>
      <c r="L18" s="38"/>
      <c r="M18" s="80"/>
      <c r="N18" s="81"/>
      <c r="O18" s="82"/>
      <c r="P18" s="81"/>
      <c r="Q18" s="91"/>
    </row>
    <row r="19" spans="2:17">
      <c r="B19" s="39">
        <v>45797</v>
      </c>
      <c r="C19" s="40" t="s">
        <v>111</v>
      </c>
      <c r="D19" s="41" t="s">
        <v>49</v>
      </c>
      <c r="E19" s="42" t="s">
        <v>166</v>
      </c>
      <c r="F19" s="94" t="s">
        <v>36</v>
      </c>
      <c r="G19" s="44"/>
      <c r="H19" s="45"/>
      <c r="I19" s="80"/>
      <c r="J19" s="38"/>
      <c r="K19" s="80">
        <v>98243</v>
      </c>
      <c r="L19" s="38"/>
      <c r="M19" s="80"/>
      <c r="N19" s="81"/>
      <c r="O19" s="82"/>
      <c r="P19" s="81"/>
      <c r="Q19" s="91"/>
    </row>
    <row r="20" spans="2:17">
      <c r="B20" s="39">
        <v>45797</v>
      </c>
      <c r="C20" s="47" t="s">
        <v>160</v>
      </c>
      <c r="D20" s="41" t="s">
        <v>19</v>
      </c>
      <c r="E20" s="42" t="s">
        <v>167</v>
      </c>
      <c r="F20" s="94" t="s">
        <v>36</v>
      </c>
      <c r="G20" s="44"/>
      <c r="H20" s="45"/>
      <c r="I20" s="80"/>
      <c r="J20" s="38">
        <v>3200</v>
      </c>
      <c r="K20" s="83"/>
      <c r="L20" s="38"/>
      <c r="M20" s="80"/>
      <c r="N20" s="81"/>
      <c r="O20" s="82"/>
      <c r="P20" s="81"/>
      <c r="Q20" s="91"/>
    </row>
    <row r="21" spans="2:17">
      <c r="B21" s="39">
        <v>45798</v>
      </c>
      <c r="C21" s="47" t="s">
        <v>38</v>
      </c>
      <c r="D21" s="41" t="s">
        <v>19</v>
      </c>
      <c r="E21" s="96" t="s">
        <v>168</v>
      </c>
      <c r="F21" s="94" t="s">
        <v>36</v>
      </c>
      <c r="G21" s="44"/>
      <c r="H21" s="97"/>
      <c r="I21" s="80"/>
      <c r="J21" s="38">
        <v>26492.39</v>
      </c>
      <c r="K21" s="80"/>
      <c r="L21" s="38"/>
      <c r="M21" s="80"/>
      <c r="N21" s="81"/>
      <c r="O21" s="82"/>
      <c r="P21" s="81"/>
      <c r="Q21" s="91"/>
    </row>
    <row r="22" spans="2:17">
      <c r="B22" s="39">
        <v>45799</v>
      </c>
      <c r="C22" s="47" t="s">
        <v>169</v>
      </c>
      <c r="D22" s="41" t="s">
        <v>170</v>
      </c>
      <c r="E22" s="96"/>
      <c r="F22" s="94" t="s">
        <v>36</v>
      </c>
      <c r="G22" s="44"/>
      <c r="H22" s="97"/>
      <c r="I22" s="80"/>
      <c r="J22" s="38"/>
      <c r="K22" s="80">
        <v>10000</v>
      </c>
      <c r="L22" s="38"/>
      <c r="M22" s="80"/>
      <c r="N22" s="81"/>
      <c r="O22" s="82"/>
      <c r="P22" s="81"/>
      <c r="Q22" s="91"/>
    </row>
    <row r="23" spans="2:17">
      <c r="B23" s="39">
        <v>45800</v>
      </c>
      <c r="C23" s="40" t="s">
        <v>114</v>
      </c>
      <c r="D23" s="41" t="s">
        <v>19</v>
      </c>
      <c r="E23" s="96" t="s">
        <v>171</v>
      </c>
      <c r="F23" s="94" t="s">
        <v>36</v>
      </c>
      <c r="G23" s="44"/>
      <c r="H23" s="97"/>
      <c r="I23" s="80">
        <v>119362.5</v>
      </c>
      <c r="J23" s="38"/>
      <c r="K23" s="80"/>
      <c r="L23" s="38"/>
      <c r="M23" s="80"/>
      <c r="N23" s="81"/>
      <c r="O23" s="82"/>
      <c r="P23" s="81"/>
      <c r="Q23" s="91"/>
    </row>
    <row r="24" spans="2:17">
      <c r="B24" s="39">
        <v>45800</v>
      </c>
      <c r="C24" s="40" t="s">
        <v>114</v>
      </c>
      <c r="D24" s="41" t="s">
        <v>19</v>
      </c>
      <c r="E24" s="96" t="s">
        <v>172</v>
      </c>
      <c r="F24" s="94" t="s">
        <v>36</v>
      </c>
      <c r="G24" s="44"/>
      <c r="H24" s="97"/>
      <c r="I24" s="80">
        <v>13262.5</v>
      </c>
      <c r="J24" s="38"/>
      <c r="K24" s="80"/>
      <c r="L24" s="38"/>
      <c r="M24" s="80"/>
      <c r="N24" s="81"/>
      <c r="O24" s="82"/>
      <c r="P24" s="81"/>
      <c r="Q24" s="91"/>
    </row>
    <row r="25" spans="2:17">
      <c r="B25" s="39">
        <v>45800</v>
      </c>
      <c r="C25" s="40" t="s">
        <v>114</v>
      </c>
      <c r="D25" s="41" t="s">
        <v>19</v>
      </c>
      <c r="E25" s="96" t="s">
        <v>173</v>
      </c>
      <c r="F25" s="94" t="s">
        <v>36</v>
      </c>
      <c r="G25" s="44"/>
      <c r="H25" s="97"/>
      <c r="I25" s="80">
        <v>148896</v>
      </c>
      <c r="J25" s="38"/>
      <c r="K25" s="80"/>
      <c r="L25" s="38"/>
      <c r="M25" s="80"/>
      <c r="N25" s="81"/>
      <c r="O25" s="82"/>
      <c r="P25" s="81"/>
      <c r="Q25" s="91"/>
    </row>
    <row r="26" spans="2:17">
      <c r="B26" s="39">
        <v>45800</v>
      </c>
      <c r="C26" s="40" t="s">
        <v>114</v>
      </c>
      <c r="D26" s="41" t="s">
        <v>19</v>
      </c>
      <c r="E26" s="96" t="s">
        <v>174</v>
      </c>
      <c r="F26" s="94" t="s">
        <v>36</v>
      </c>
      <c r="G26" s="44"/>
      <c r="H26" s="97"/>
      <c r="I26" s="80">
        <v>16544</v>
      </c>
      <c r="J26" s="38"/>
      <c r="K26" s="80"/>
      <c r="L26" s="38"/>
      <c r="M26" s="80"/>
      <c r="N26" s="81"/>
      <c r="O26" s="82"/>
      <c r="P26" s="81"/>
      <c r="Q26" s="91"/>
    </row>
    <row r="27" spans="2:17">
      <c r="B27" s="39">
        <v>45800</v>
      </c>
      <c r="C27" s="40" t="s">
        <v>114</v>
      </c>
      <c r="D27" s="41" t="s">
        <v>19</v>
      </c>
      <c r="E27" s="96" t="s">
        <v>175</v>
      </c>
      <c r="F27" s="94" t="s">
        <v>36</v>
      </c>
      <c r="G27" s="44"/>
      <c r="H27" s="97"/>
      <c r="I27" s="80">
        <v>25392</v>
      </c>
      <c r="J27" s="38"/>
      <c r="K27" s="80"/>
      <c r="L27" s="38"/>
      <c r="M27" s="80"/>
      <c r="N27" s="81"/>
      <c r="O27" s="82"/>
      <c r="P27" s="81"/>
      <c r="Q27" s="91"/>
    </row>
    <row r="28" spans="2:17">
      <c r="B28" s="39">
        <v>45806</v>
      </c>
      <c r="C28" s="47" t="s">
        <v>176</v>
      </c>
      <c r="D28" s="41" t="s">
        <v>19</v>
      </c>
      <c r="E28" s="96" t="s">
        <v>177</v>
      </c>
      <c r="F28" s="94" t="s">
        <v>36</v>
      </c>
      <c r="G28" s="44"/>
      <c r="H28" s="97"/>
      <c r="I28" s="80"/>
      <c r="J28" s="38">
        <v>4200</v>
      </c>
      <c r="K28" s="83"/>
      <c r="L28" s="38"/>
      <c r="M28" s="80"/>
      <c r="N28" s="81"/>
      <c r="O28" s="82"/>
      <c r="P28" s="81"/>
      <c r="Q28" s="91"/>
    </row>
    <row r="29" spans="2:17">
      <c r="B29" s="39">
        <v>45800</v>
      </c>
      <c r="C29" s="47" t="s">
        <v>178</v>
      </c>
      <c r="D29" s="41" t="s">
        <v>49</v>
      </c>
      <c r="E29" s="96"/>
      <c r="F29" s="94" t="s">
        <v>36</v>
      </c>
      <c r="G29" s="44"/>
      <c r="H29" s="97"/>
      <c r="I29" s="80"/>
      <c r="J29" s="38"/>
      <c r="K29" s="80">
        <v>1700</v>
      </c>
      <c r="L29" s="38"/>
      <c r="M29" s="80"/>
      <c r="N29" s="81"/>
      <c r="O29" s="82"/>
      <c r="P29" s="81"/>
      <c r="Q29" s="91"/>
    </row>
    <row r="30" spans="2:17">
      <c r="B30" s="39">
        <v>45800</v>
      </c>
      <c r="C30" s="47" t="s">
        <v>178</v>
      </c>
      <c r="D30" s="41" t="s">
        <v>49</v>
      </c>
      <c r="E30" s="96"/>
      <c r="F30" s="94" t="s">
        <v>36</v>
      </c>
      <c r="G30" s="44"/>
      <c r="H30" s="97"/>
      <c r="I30" s="80"/>
      <c r="J30" s="38"/>
      <c r="K30" s="80">
        <v>3000</v>
      </c>
      <c r="L30" s="38"/>
      <c r="M30" s="80"/>
      <c r="N30" s="81"/>
      <c r="O30" s="82"/>
      <c r="P30" s="81"/>
      <c r="Q30" s="91"/>
    </row>
    <row r="31" spans="2:17">
      <c r="B31" s="39">
        <v>45802</v>
      </c>
      <c r="C31" s="47" t="s">
        <v>179</v>
      </c>
      <c r="D31" s="41" t="s">
        <v>19</v>
      </c>
      <c r="E31" s="96" t="s">
        <v>180</v>
      </c>
      <c r="F31" s="94" t="s">
        <v>36</v>
      </c>
      <c r="G31" s="44"/>
      <c r="H31" s="97"/>
      <c r="I31" s="80"/>
      <c r="J31" s="38">
        <v>320.93</v>
      </c>
      <c r="K31" s="80"/>
      <c r="L31" s="38"/>
      <c r="M31" s="80"/>
      <c r="N31" s="81"/>
      <c r="O31" s="82"/>
      <c r="P31" s="81"/>
      <c r="Q31" s="91"/>
    </row>
    <row r="32" spans="2:17">
      <c r="B32" s="39">
        <v>45802</v>
      </c>
      <c r="C32" s="47" t="s">
        <v>179</v>
      </c>
      <c r="D32" s="41" t="s">
        <v>19</v>
      </c>
      <c r="E32" s="96" t="s">
        <v>181</v>
      </c>
      <c r="F32" s="94" t="s">
        <v>36</v>
      </c>
      <c r="G32" s="44"/>
      <c r="H32" s="97"/>
      <c r="I32" s="80"/>
      <c r="J32" s="38">
        <v>6097.58</v>
      </c>
      <c r="K32" s="80"/>
      <c r="L32" s="38"/>
      <c r="M32" s="80"/>
      <c r="N32" s="81"/>
      <c r="O32" s="82"/>
      <c r="P32" s="81"/>
      <c r="Q32" s="91"/>
    </row>
    <row r="33" spans="2:17">
      <c r="B33" s="39">
        <v>45806</v>
      </c>
      <c r="C33" s="40" t="s">
        <v>154</v>
      </c>
      <c r="D33" s="41" t="s">
        <v>19</v>
      </c>
      <c r="E33" s="96" t="s">
        <v>182</v>
      </c>
      <c r="F33" s="94" t="s">
        <v>36</v>
      </c>
      <c r="G33" s="44"/>
      <c r="H33" s="97"/>
      <c r="I33" s="80"/>
      <c r="J33" s="38"/>
      <c r="K33" s="80">
        <v>5718.3</v>
      </c>
      <c r="L33" s="38"/>
      <c r="M33" s="80"/>
      <c r="N33" s="81"/>
      <c r="O33" s="82"/>
      <c r="P33" s="81"/>
      <c r="Q33" s="91"/>
    </row>
    <row r="34" spans="2:17">
      <c r="B34" s="39"/>
      <c r="C34" s="47"/>
      <c r="D34" s="41"/>
      <c r="E34" s="96"/>
      <c r="F34" s="49"/>
      <c r="G34" s="44"/>
      <c r="H34" s="97"/>
      <c r="I34" s="80"/>
      <c r="J34" s="38"/>
      <c r="K34" s="83"/>
      <c r="L34" s="38"/>
      <c r="M34" s="80"/>
      <c r="N34" s="81"/>
      <c r="O34" s="82"/>
      <c r="P34" s="81"/>
      <c r="Q34" s="91"/>
    </row>
    <row r="35" ht="15.15" spans="2:17">
      <c r="B35" s="39"/>
      <c r="C35" s="47"/>
      <c r="D35" s="41"/>
      <c r="E35" s="42"/>
      <c r="F35" s="99"/>
      <c r="G35" s="44"/>
      <c r="H35" s="45"/>
      <c r="I35" s="80"/>
      <c r="J35" s="38"/>
      <c r="K35" s="83"/>
      <c r="L35" s="38"/>
      <c r="M35" s="80"/>
      <c r="N35" s="81"/>
      <c r="O35" s="82"/>
      <c r="P35" s="81"/>
      <c r="Q35" s="91"/>
    </row>
    <row r="36" ht="15.15" spans="2:17">
      <c r="B36" s="50"/>
      <c r="C36" s="51"/>
      <c r="D36" s="52"/>
      <c r="E36" s="53"/>
      <c r="F36" s="52"/>
      <c r="G36" s="54">
        <f t="shared" ref="G36:Q36" si="1">SUM(G8:G35)</f>
        <v>0</v>
      </c>
      <c r="H36" s="55">
        <f t="shared" si="1"/>
        <v>0</v>
      </c>
      <c r="I36" s="84">
        <f t="shared" si="1"/>
        <v>323457</v>
      </c>
      <c r="J36" s="85">
        <f t="shared" si="1"/>
        <v>44692.9</v>
      </c>
      <c r="K36" s="86">
        <f t="shared" si="1"/>
        <v>444119.22</v>
      </c>
      <c r="L36" s="87">
        <f t="shared" si="1"/>
        <v>0</v>
      </c>
      <c r="M36" s="88">
        <f t="shared" si="1"/>
        <v>0</v>
      </c>
      <c r="N36" s="89">
        <f t="shared" si="1"/>
        <v>0</v>
      </c>
      <c r="O36" s="89">
        <f t="shared" si="1"/>
        <v>0</v>
      </c>
      <c r="P36" s="55">
        <f t="shared" si="1"/>
        <v>0</v>
      </c>
      <c r="Q36" s="92">
        <f t="shared" si="1"/>
        <v>0</v>
      </c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="2" customFormat="1" spans="1:22">
      <c r="A42" s="6"/>
      <c r="B42" s="3"/>
      <c r="C42"/>
      <c r="D42" s="1"/>
      <c r="E42"/>
      <c r="F42" s="4"/>
      <c r="G42" s="5"/>
      <c r="H42"/>
      <c r="I42" s="6"/>
      <c r="J42" s="1"/>
      <c r="K42" s="1"/>
      <c r="L42" s="1"/>
      <c r="M42" s="1"/>
      <c r="N42" s="1"/>
      <c r="O42" s="1"/>
      <c r="P42" s="7"/>
      <c r="Q42" s="1"/>
      <c r="R42"/>
      <c r="S42"/>
      <c r="T42"/>
      <c r="U42"/>
      <c r="V42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0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G31" sqref="G31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183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1275878.99</v>
      </c>
      <c r="E3" s="17"/>
      <c r="F3" s="18">
        <f>D3+D4</f>
        <v>1352154.86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76275.87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G34</f>
        <v>0</v>
      </c>
      <c r="H5" s="32">
        <f t="shared" si="0"/>
        <v>0</v>
      </c>
      <c r="I5" s="73">
        <f t="shared" si="0"/>
        <v>793328</v>
      </c>
      <c r="J5" s="32">
        <f t="shared" si="0"/>
        <v>76275.87</v>
      </c>
      <c r="K5" s="73">
        <f t="shared" si="0"/>
        <v>482550.99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45810</v>
      </c>
      <c r="C8" s="47" t="s">
        <v>184</v>
      </c>
      <c r="D8" s="41" t="s">
        <v>19</v>
      </c>
      <c r="E8" s="42" t="s">
        <v>185</v>
      </c>
      <c r="F8" s="43" t="s">
        <v>36</v>
      </c>
      <c r="G8" s="44"/>
      <c r="H8" s="45"/>
      <c r="I8" s="80"/>
      <c r="J8" s="38">
        <v>1850</v>
      </c>
      <c r="K8" s="83"/>
      <c r="L8" s="38"/>
      <c r="M8" s="80"/>
      <c r="N8" s="81"/>
      <c r="O8" s="82"/>
      <c r="P8" s="81"/>
      <c r="Q8" s="91"/>
    </row>
    <row r="9" spans="2:17">
      <c r="B9" s="39">
        <v>45810</v>
      </c>
      <c r="C9" s="40" t="s">
        <v>111</v>
      </c>
      <c r="D9" s="41" t="s">
        <v>49</v>
      </c>
      <c r="E9" s="42" t="s">
        <v>186</v>
      </c>
      <c r="F9" s="43" t="s">
        <v>36</v>
      </c>
      <c r="G9" s="44"/>
      <c r="H9" s="45"/>
      <c r="I9" s="80"/>
      <c r="J9" s="38"/>
      <c r="K9" s="80">
        <v>15453.19</v>
      </c>
      <c r="L9" s="38"/>
      <c r="M9" s="80"/>
      <c r="N9" s="81"/>
      <c r="O9" s="82"/>
      <c r="P9" s="81"/>
      <c r="Q9" s="91"/>
    </row>
    <row r="10" spans="2:17">
      <c r="B10" s="39">
        <v>45810</v>
      </c>
      <c r="C10" s="40" t="s">
        <v>111</v>
      </c>
      <c r="D10" s="41" t="s">
        <v>49</v>
      </c>
      <c r="E10" s="42" t="s">
        <v>187</v>
      </c>
      <c r="F10" s="43" t="s">
        <v>36</v>
      </c>
      <c r="G10" s="44"/>
      <c r="H10" s="45"/>
      <c r="I10" s="80"/>
      <c r="J10" s="38"/>
      <c r="K10" s="80">
        <v>98391.07</v>
      </c>
      <c r="L10" s="38"/>
      <c r="M10" s="80"/>
      <c r="N10" s="81"/>
      <c r="O10" s="82"/>
      <c r="P10" s="81"/>
      <c r="Q10" s="91"/>
    </row>
    <row r="11" spans="2:17">
      <c r="B11" s="39">
        <v>45810</v>
      </c>
      <c r="C11" s="40" t="s">
        <v>111</v>
      </c>
      <c r="D11" s="41" t="s">
        <v>49</v>
      </c>
      <c r="E11" s="42" t="s">
        <v>188</v>
      </c>
      <c r="F11" s="43" t="s">
        <v>36</v>
      </c>
      <c r="G11" s="44"/>
      <c r="H11" s="45"/>
      <c r="I11" s="80"/>
      <c r="J11" s="38"/>
      <c r="K11" s="80">
        <v>16227.75</v>
      </c>
      <c r="L11" s="38"/>
      <c r="M11" s="80"/>
      <c r="N11" s="81"/>
      <c r="O11" s="82"/>
      <c r="P11" s="81"/>
      <c r="Q11" s="91"/>
    </row>
    <row r="12" spans="2:17">
      <c r="B12" s="39">
        <v>45814</v>
      </c>
      <c r="C12" s="47" t="s">
        <v>46</v>
      </c>
      <c r="D12" s="41" t="s">
        <v>19</v>
      </c>
      <c r="E12" s="42" t="s">
        <v>162</v>
      </c>
      <c r="F12" s="43" t="s">
        <v>36</v>
      </c>
      <c r="G12" s="44"/>
      <c r="H12" s="45"/>
      <c r="I12" s="80"/>
      <c r="J12" s="38">
        <v>2800</v>
      </c>
      <c r="K12" s="83"/>
      <c r="L12" s="38"/>
      <c r="M12" s="80"/>
      <c r="N12" s="81"/>
      <c r="O12" s="82"/>
      <c r="P12" s="81"/>
      <c r="Q12" s="91"/>
    </row>
    <row r="13" spans="2:17">
      <c r="B13" s="39">
        <v>45814</v>
      </c>
      <c r="C13" s="47" t="s">
        <v>46</v>
      </c>
      <c r="D13" s="41" t="s">
        <v>19</v>
      </c>
      <c r="E13" s="42" t="s">
        <v>189</v>
      </c>
      <c r="F13" s="43" t="s">
        <v>36</v>
      </c>
      <c r="G13" s="44"/>
      <c r="H13" s="45"/>
      <c r="I13" s="80"/>
      <c r="J13" s="38">
        <v>1850</v>
      </c>
      <c r="K13" s="83"/>
      <c r="L13" s="38"/>
      <c r="M13" s="80"/>
      <c r="N13" s="81"/>
      <c r="O13" s="82"/>
      <c r="P13" s="81"/>
      <c r="Q13" s="91"/>
    </row>
    <row r="14" spans="2:17">
      <c r="B14" s="39">
        <v>45814</v>
      </c>
      <c r="C14" s="47" t="s">
        <v>190</v>
      </c>
      <c r="D14" s="41" t="s">
        <v>19</v>
      </c>
      <c r="E14" s="42" t="s">
        <v>191</v>
      </c>
      <c r="F14" s="43" t="s">
        <v>36</v>
      </c>
      <c r="G14" s="44"/>
      <c r="H14" s="45"/>
      <c r="I14" s="80"/>
      <c r="J14" s="38">
        <v>5600</v>
      </c>
      <c r="K14" s="83"/>
      <c r="L14" s="38"/>
      <c r="M14" s="80"/>
      <c r="N14" s="81"/>
      <c r="O14" s="82"/>
      <c r="P14" s="81"/>
      <c r="Q14" s="91"/>
    </row>
    <row r="15" spans="2:17">
      <c r="B15" s="39">
        <v>45817</v>
      </c>
      <c r="C15" s="40" t="s">
        <v>114</v>
      </c>
      <c r="D15" s="41" t="s">
        <v>19</v>
      </c>
      <c r="E15" s="96" t="s">
        <v>173</v>
      </c>
      <c r="F15" s="43" t="s">
        <v>36</v>
      </c>
      <c r="G15" s="44"/>
      <c r="H15" s="97"/>
      <c r="I15" s="80">
        <v>228528</v>
      </c>
      <c r="J15" s="38"/>
      <c r="K15" s="83"/>
      <c r="L15" s="38"/>
      <c r="M15" s="80"/>
      <c r="N15" s="81"/>
      <c r="O15" s="82"/>
      <c r="P15" s="81"/>
      <c r="Q15" s="91"/>
    </row>
    <row r="16" spans="2:17">
      <c r="B16" s="39">
        <v>45817</v>
      </c>
      <c r="C16" s="47" t="s">
        <v>192</v>
      </c>
      <c r="D16" s="41" t="s">
        <v>19</v>
      </c>
      <c r="E16" s="42" t="s">
        <v>193</v>
      </c>
      <c r="F16" s="43" t="s">
        <v>36</v>
      </c>
      <c r="G16" s="44"/>
      <c r="H16" s="45"/>
      <c r="I16" s="80"/>
      <c r="J16" s="38">
        <v>14000</v>
      </c>
      <c r="K16" s="83"/>
      <c r="L16" s="38"/>
      <c r="M16" s="80"/>
      <c r="N16" s="81"/>
      <c r="O16" s="82"/>
      <c r="P16" s="81"/>
      <c r="Q16" s="91"/>
    </row>
    <row r="17" spans="2:17">
      <c r="B17" s="39">
        <v>45817</v>
      </c>
      <c r="C17" s="47" t="s">
        <v>194</v>
      </c>
      <c r="D17" s="41" t="s">
        <v>19</v>
      </c>
      <c r="E17" s="42" t="s">
        <v>195</v>
      </c>
      <c r="F17" s="43" t="s">
        <v>36</v>
      </c>
      <c r="G17" s="44"/>
      <c r="H17" s="45"/>
      <c r="I17" s="80"/>
      <c r="J17" s="38">
        <v>5817.61</v>
      </c>
      <c r="K17" s="83"/>
      <c r="L17" s="38"/>
      <c r="M17" s="80"/>
      <c r="N17" s="81"/>
      <c r="O17" s="82"/>
      <c r="P17" s="81"/>
      <c r="Q17" s="91"/>
    </row>
    <row r="18" spans="2:17">
      <c r="B18" s="39">
        <v>45817</v>
      </c>
      <c r="C18" s="47" t="s">
        <v>194</v>
      </c>
      <c r="D18" s="41" t="s">
        <v>19</v>
      </c>
      <c r="E18" s="42" t="s">
        <v>196</v>
      </c>
      <c r="F18" s="43" t="s">
        <v>36</v>
      </c>
      <c r="G18" s="44"/>
      <c r="H18" s="45"/>
      <c r="I18" s="80"/>
      <c r="J18" s="38">
        <v>37892.49</v>
      </c>
      <c r="K18" s="83"/>
      <c r="L18" s="38"/>
      <c r="M18" s="80"/>
      <c r="N18" s="81"/>
      <c r="O18" s="82"/>
      <c r="P18" s="81"/>
      <c r="Q18" s="91"/>
    </row>
    <row r="19" spans="2:17">
      <c r="B19" s="39">
        <v>45817</v>
      </c>
      <c r="C19" s="47" t="s">
        <v>184</v>
      </c>
      <c r="D19" s="41" t="s">
        <v>19</v>
      </c>
      <c r="E19" s="42" t="s">
        <v>197</v>
      </c>
      <c r="F19" s="43" t="s">
        <v>36</v>
      </c>
      <c r="G19" s="44"/>
      <c r="H19" s="45"/>
      <c r="I19" s="80"/>
      <c r="J19" s="38">
        <v>1850</v>
      </c>
      <c r="K19" s="83"/>
      <c r="L19" s="38"/>
      <c r="M19" s="80"/>
      <c r="N19" s="81"/>
      <c r="O19" s="82"/>
      <c r="P19" s="81"/>
      <c r="Q19" s="91"/>
    </row>
    <row r="20" spans="2:17">
      <c r="B20" s="39">
        <v>45820</v>
      </c>
      <c r="C20" s="47" t="s">
        <v>38</v>
      </c>
      <c r="D20" s="41" t="s">
        <v>19</v>
      </c>
      <c r="E20" s="42" t="s">
        <v>198</v>
      </c>
      <c r="F20" s="43" t="s">
        <v>36</v>
      </c>
      <c r="G20" s="44"/>
      <c r="H20" s="45"/>
      <c r="I20" s="80"/>
      <c r="J20" s="38">
        <v>2115.77</v>
      </c>
      <c r="K20" s="83"/>
      <c r="L20" s="38"/>
      <c r="M20" s="80"/>
      <c r="N20" s="81"/>
      <c r="O20" s="82"/>
      <c r="P20" s="81"/>
      <c r="Q20" s="91"/>
    </row>
    <row r="21" spans="2:17">
      <c r="B21" s="39">
        <v>45824</v>
      </c>
      <c r="C21" s="40" t="s">
        <v>199</v>
      </c>
      <c r="D21" s="41" t="s">
        <v>170</v>
      </c>
      <c r="E21" s="42"/>
      <c r="F21" s="43" t="s">
        <v>36</v>
      </c>
      <c r="G21" s="44"/>
      <c r="H21" s="45"/>
      <c r="I21" s="80">
        <v>1300</v>
      </c>
      <c r="J21" s="38"/>
      <c r="K21" s="83"/>
      <c r="L21" s="38"/>
      <c r="M21" s="80"/>
      <c r="N21" s="81"/>
      <c r="O21" s="82"/>
      <c r="P21" s="81"/>
      <c r="Q21" s="91"/>
    </row>
    <row r="22" spans="2:17">
      <c r="B22" s="39">
        <v>45826</v>
      </c>
      <c r="C22" s="40" t="s">
        <v>200</v>
      </c>
      <c r="D22" s="41" t="s">
        <v>170</v>
      </c>
      <c r="E22" s="42"/>
      <c r="F22" s="43" t="s">
        <v>36</v>
      </c>
      <c r="G22" s="44"/>
      <c r="H22" s="45"/>
      <c r="I22" s="80">
        <v>9000</v>
      </c>
      <c r="J22" s="38"/>
      <c r="K22" s="83"/>
      <c r="L22" s="38"/>
      <c r="M22" s="80"/>
      <c r="N22" s="81"/>
      <c r="O22" s="82"/>
      <c r="P22" s="81"/>
      <c r="Q22" s="91"/>
    </row>
    <row r="23" spans="2:17">
      <c r="B23" s="39">
        <v>45828</v>
      </c>
      <c r="C23" s="40" t="s">
        <v>111</v>
      </c>
      <c r="D23" s="41" t="s">
        <v>49</v>
      </c>
      <c r="E23" s="42" t="s">
        <v>201</v>
      </c>
      <c r="F23" s="43" t="s">
        <v>36</v>
      </c>
      <c r="G23" s="44"/>
      <c r="H23" s="45"/>
      <c r="I23" s="80"/>
      <c r="J23" s="38"/>
      <c r="K23" s="80">
        <v>352478.98</v>
      </c>
      <c r="L23" s="38"/>
      <c r="M23" s="80"/>
      <c r="N23" s="81"/>
      <c r="O23" s="82"/>
      <c r="P23" s="81"/>
      <c r="Q23" s="91"/>
    </row>
    <row r="24" spans="2:17">
      <c r="B24" s="39">
        <v>45828</v>
      </c>
      <c r="C24" s="40" t="s">
        <v>202</v>
      </c>
      <c r="D24" s="41" t="s">
        <v>19</v>
      </c>
      <c r="E24" s="42" t="s">
        <v>203</v>
      </c>
      <c r="F24" s="43" t="s">
        <v>36</v>
      </c>
      <c r="G24" s="44"/>
      <c r="H24" s="45"/>
      <c r="I24" s="80">
        <v>25248</v>
      </c>
      <c r="J24" s="38"/>
      <c r="K24" s="83"/>
      <c r="L24" s="38"/>
      <c r="M24" s="80"/>
      <c r="N24" s="81"/>
      <c r="O24" s="82"/>
      <c r="P24" s="81"/>
      <c r="Q24" s="91"/>
    </row>
    <row r="25" spans="2:17">
      <c r="B25" s="39">
        <v>45828</v>
      </c>
      <c r="C25" s="40" t="s">
        <v>202</v>
      </c>
      <c r="D25" s="41" t="s">
        <v>19</v>
      </c>
      <c r="E25" s="42" t="s">
        <v>204</v>
      </c>
      <c r="F25" s="43" t="s">
        <v>36</v>
      </c>
      <c r="G25" s="44"/>
      <c r="H25" s="45"/>
      <c r="I25" s="80">
        <v>227232</v>
      </c>
      <c r="J25" s="38"/>
      <c r="K25" s="83"/>
      <c r="L25" s="38"/>
      <c r="M25" s="80"/>
      <c r="N25" s="81"/>
      <c r="O25" s="82"/>
      <c r="P25" s="81"/>
      <c r="Q25" s="91"/>
    </row>
    <row r="26" spans="2:17">
      <c r="B26" s="39">
        <v>45828</v>
      </c>
      <c r="C26" s="40" t="s">
        <v>205</v>
      </c>
      <c r="D26" s="41" t="s">
        <v>19</v>
      </c>
      <c r="E26" s="42" t="s">
        <v>206</v>
      </c>
      <c r="F26" s="43" t="s">
        <v>36</v>
      </c>
      <c r="G26" s="44"/>
      <c r="H26" s="45"/>
      <c r="I26" s="80">
        <v>13100</v>
      </c>
      <c r="J26" s="38"/>
      <c r="K26" s="83"/>
      <c r="L26" s="38"/>
      <c r="M26" s="80"/>
      <c r="N26" s="81"/>
      <c r="O26" s="82"/>
      <c r="P26" s="81"/>
      <c r="Q26" s="91"/>
    </row>
    <row r="27" spans="2:17">
      <c r="B27" s="39">
        <v>45828</v>
      </c>
      <c r="C27" s="40" t="s">
        <v>205</v>
      </c>
      <c r="D27" s="41" t="s">
        <v>19</v>
      </c>
      <c r="E27" s="42" t="s">
        <v>207</v>
      </c>
      <c r="F27" s="43" t="s">
        <v>36</v>
      </c>
      <c r="G27" s="44"/>
      <c r="H27" s="45"/>
      <c r="I27" s="80">
        <v>117900</v>
      </c>
      <c r="J27" s="38"/>
      <c r="K27" s="83"/>
      <c r="L27" s="38"/>
      <c r="M27" s="80"/>
      <c r="N27" s="81"/>
      <c r="O27" s="82"/>
      <c r="P27" s="81"/>
      <c r="Q27" s="91"/>
    </row>
    <row r="28" spans="2:17">
      <c r="B28" s="39">
        <v>45828</v>
      </c>
      <c r="C28" s="40" t="s">
        <v>208</v>
      </c>
      <c r="D28" s="41" t="s">
        <v>19</v>
      </c>
      <c r="E28" s="42" t="s">
        <v>209</v>
      </c>
      <c r="F28" s="43" t="s">
        <v>36</v>
      </c>
      <c r="G28" s="44"/>
      <c r="H28" s="45"/>
      <c r="I28" s="80">
        <v>16832</v>
      </c>
      <c r="J28" s="38"/>
      <c r="K28" s="83"/>
      <c r="L28" s="38"/>
      <c r="M28" s="80"/>
      <c r="N28" s="81"/>
      <c r="O28" s="82"/>
      <c r="P28" s="81"/>
      <c r="Q28" s="91"/>
    </row>
    <row r="29" spans="2:17">
      <c r="B29" s="39">
        <v>45828</v>
      </c>
      <c r="C29" s="40" t="s">
        <v>210</v>
      </c>
      <c r="D29" s="41" t="s">
        <v>19</v>
      </c>
      <c r="E29" s="42" t="s">
        <v>211</v>
      </c>
      <c r="F29" s="43" t="s">
        <v>36</v>
      </c>
      <c r="G29" s="44"/>
      <c r="H29" s="45"/>
      <c r="I29" s="80">
        <v>151488</v>
      </c>
      <c r="J29" s="38"/>
      <c r="K29" s="83"/>
      <c r="L29" s="38"/>
      <c r="M29" s="80"/>
      <c r="N29" s="81"/>
      <c r="O29" s="82"/>
      <c r="P29" s="81"/>
      <c r="Q29" s="91"/>
    </row>
    <row r="30" spans="2:17">
      <c r="B30" s="39">
        <v>45834</v>
      </c>
      <c r="C30" s="40" t="s">
        <v>212</v>
      </c>
      <c r="D30" s="41" t="s">
        <v>19</v>
      </c>
      <c r="E30" s="42" t="s">
        <v>170</v>
      </c>
      <c r="F30" s="43" t="s">
        <v>36</v>
      </c>
      <c r="G30" s="44"/>
      <c r="H30" s="45"/>
      <c r="I30" s="80">
        <v>2700</v>
      </c>
      <c r="J30" s="38"/>
      <c r="K30" s="83"/>
      <c r="L30" s="38"/>
      <c r="M30" s="80"/>
      <c r="N30" s="81"/>
      <c r="O30" s="82"/>
      <c r="P30" s="81"/>
      <c r="Q30" s="91"/>
    </row>
    <row r="31" spans="2:17">
      <c r="B31" s="39">
        <v>45838</v>
      </c>
      <c r="C31" s="47" t="s">
        <v>134</v>
      </c>
      <c r="D31" s="41" t="s">
        <v>19</v>
      </c>
      <c r="E31" s="42" t="s">
        <v>213</v>
      </c>
      <c r="F31" s="43" t="s">
        <v>36</v>
      </c>
      <c r="G31" s="44"/>
      <c r="H31" s="45"/>
      <c r="I31" s="80"/>
      <c r="J31" s="38">
        <v>2500</v>
      </c>
      <c r="K31" s="83"/>
      <c r="L31" s="38"/>
      <c r="M31" s="80"/>
      <c r="N31" s="81"/>
      <c r="O31" s="82"/>
      <c r="P31" s="81"/>
      <c r="Q31" s="91"/>
    </row>
    <row r="32" spans="2:17">
      <c r="B32" s="39"/>
      <c r="C32" s="47"/>
      <c r="D32" s="41"/>
      <c r="E32" s="42"/>
      <c r="F32" s="49"/>
      <c r="G32" s="44"/>
      <c r="H32" s="45"/>
      <c r="I32" s="80"/>
      <c r="J32" s="38"/>
      <c r="K32" s="83"/>
      <c r="L32" s="38"/>
      <c r="M32" s="80"/>
      <c r="N32" s="81"/>
      <c r="O32" s="82"/>
      <c r="P32" s="81"/>
      <c r="Q32" s="91"/>
    </row>
    <row r="33" ht="15.15" spans="2:17">
      <c r="B33" s="39"/>
      <c r="C33" s="47"/>
      <c r="D33" s="48"/>
      <c r="E33" s="47"/>
      <c r="F33" s="49"/>
      <c r="G33" s="44"/>
      <c r="H33" s="45"/>
      <c r="I33" s="82"/>
      <c r="J33" s="38"/>
      <c r="K33" s="83"/>
      <c r="L33" s="38"/>
      <c r="M33" s="80"/>
      <c r="N33" s="81"/>
      <c r="O33" s="83"/>
      <c r="P33" s="81"/>
      <c r="Q33" s="80"/>
    </row>
    <row r="34" ht="15.15" spans="2:17">
      <c r="B34" s="50"/>
      <c r="C34" s="51"/>
      <c r="D34" s="52"/>
      <c r="E34" s="53"/>
      <c r="F34" s="52"/>
      <c r="G34" s="54">
        <f t="shared" ref="G34:Q34" si="1">SUM(G8:G33)</f>
        <v>0</v>
      </c>
      <c r="H34" s="55">
        <f t="shared" si="1"/>
        <v>0</v>
      </c>
      <c r="I34" s="84">
        <f t="shared" si="1"/>
        <v>793328</v>
      </c>
      <c r="J34" s="85">
        <f t="shared" si="1"/>
        <v>76275.87</v>
      </c>
      <c r="K34" s="86">
        <f t="shared" si="1"/>
        <v>482550.99</v>
      </c>
      <c r="L34" s="87">
        <f t="shared" si="1"/>
        <v>0</v>
      </c>
      <c r="M34" s="88">
        <f t="shared" si="1"/>
        <v>0</v>
      </c>
      <c r="N34" s="89">
        <f t="shared" si="1"/>
        <v>0</v>
      </c>
      <c r="O34" s="89">
        <f t="shared" si="1"/>
        <v>0</v>
      </c>
      <c r="P34" s="55">
        <f t="shared" si="1"/>
        <v>0</v>
      </c>
      <c r="Q34" s="92">
        <f t="shared" si="1"/>
        <v>0</v>
      </c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="2" customFormat="1" spans="1:22">
      <c r="A40" s="6"/>
      <c r="B40" s="3"/>
      <c r="C40"/>
      <c r="D40" s="1"/>
      <c r="E40"/>
      <c r="F40" s="4"/>
      <c r="G40" s="5"/>
      <c r="H40"/>
      <c r="I40" s="6"/>
      <c r="J40" s="1"/>
      <c r="K40" s="1"/>
      <c r="L40" s="1"/>
      <c r="M40" s="1"/>
      <c r="N40" s="1"/>
      <c r="O40" s="1"/>
      <c r="P40" s="7"/>
      <c r="Q40" s="1"/>
      <c r="R40"/>
      <c r="S40"/>
      <c r="T40"/>
      <c r="U40"/>
      <c r="V40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31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E29" sqref="E29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214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614797.39</v>
      </c>
      <c r="E3" s="17"/>
      <c r="F3" s="18">
        <f>D3+D4</f>
        <v>637465.19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22667.8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G25</f>
        <v>0</v>
      </c>
      <c r="H5" s="32">
        <f t="shared" si="0"/>
        <v>0</v>
      </c>
      <c r="I5" s="73">
        <f t="shared" si="0"/>
        <v>356040</v>
      </c>
      <c r="J5" s="32">
        <f t="shared" si="0"/>
        <v>22667.8</v>
      </c>
      <c r="K5" s="73">
        <f t="shared" si="0"/>
        <v>258757.39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45839</v>
      </c>
      <c r="C8" s="47" t="s">
        <v>215</v>
      </c>
      <c r="D8" s="41" t="s">
        <v>19</v>
      </c>
      <c r="E8" s="42" t="s">
        <v>216</v>
      </c>
      <c r="F8" s="43" t="s">
        <v>36</v>
      </c>
      <c r="G8" s="44"/>
      <c r="H8" s="45"/>
      <c r="I8" s="80"/>
      <c r="J8" s="38">
        <v>198.39</v>
      </c>
      <c r="K8" s="83"/>
      <c r="L8" s="38"/>
      <c r="M8" s="80"/>
      <c r="N8" s="81"/>
      <c r="O8" s="82"/>
      <c r="P8" s="81"/>
      <c r="Q8" s="91"/>
    </row>
    <row r="9" spans="2:17">
      <c r="B9" s="39">
        <v>45839</v>
      </c>
      <c r="C9" s="47" t="s">
        <v>215</v>
      </c>
      <c r="D9" s="41" t="s">
        <v>19</v>
      </c>
      <c r="E9" s="42" t="s">
        <v>217</v>
      </c>
      <c r="F9" s="43" t="s">
        <v>36</v>
      </c>
      <c r="G9" s="44"/>
      <c r="H9" s="45"/>
      <c r="I9" s="80"/>
      <c r="J9" s="38">
        <v>3769.41</v>
      </c>
      <c r="K9" s="83"/>
      <c r="L9" s="38"/>
      <c r="M9" s="80"/>
      <c r="N9" s="81"/>
      <c r="O9" s="82"/>
      <c r="P9" s="81"/>
      <c r="Q9" s="91"/>
    </row>
    <row r="10" spans="2:17">
      <c r="B10" s="39">
        <v>45848</v>
      </c>
      <c r="C10" s="40" t="s">
        <v>111</v>
      </c>
      <c r="D10" s="41" t="s">
        <v>19</v>
      </c>
      <c r="E10" s="42" t="s">
        <v>218</v>
      </c>
      <c r="F10" s="43" t="s">
        <v>36</v>
      </c>
      <c r="G10" s="44"/>
      <c r="H10" s="45"/>
      <c r="I10" s="80"/>
      <c r="J10" s="38"/>
      <c r="K10" s="80">
        <v>35123.66</v>
      </c>
      <c r="L10" s="38"/>
      <c r="M10" s="80"/>
      <c r="N10" s="81"/>
      <c r="O10" s="82"/>
      <c r="P10" s="81"/>
      <c r="Q10" s="91"/>
    </row>
    <row r="11" spans="2:17">
      <c r="B11" s="39">
        <v>45848</v>
      </c>
      <c r="C11" s="40" t="s">
        <v>111</v>
      </c>
      <c r="D11" s="41" t="s">
        <v>19</v>
      </c>
      <c r="E11" s="42" t="s">
        <v>219</v>
      </c>
      <c r="F11" s="43" t="s">
        <v>36</v>
      </c>
      <c r="G11" s="44"/>
      <c r="H11" s="45"/>
      <c r="I11" s="80"/>
      <c r="J11" s="38"/>
      <c r="K11" s="80">
        <v>223633.73</v>
      </c>
      <c r="L11" s="38"/>
      <c r="M11" s="80"/>
      <c r="N11" s="81"/>
      <c r="O11" s="82"/>
      <c r="P11" s="81"/>
      <c r="Q11" s="91"/>
    </row>
    <row r="12" spans="2:17">
      <c r="B12" s="39">
        <v>45849</v>
      </c>
      <c r="C12" s="47" t="s">
        <v>220</v>
      </c>
      <c r="D12" s="41" t="s">
        <v>19</v>
      </c>
      <c r="E12" s="42" t="s">
        <v>221</v>
      </c>
      <c r="F12" s="43" t="s">
        <v>36</v>
      </c>
      <c r="G12" s="44"/>
      <c r="H12" s="45"/>
      <c r="I12" s="80"/>
      <c r="J12" s="38">
        <v>6500</v>
      </c>
      <c r="K12" s="83"/>
      <c r="L12" s="38"/>
      <c r="M12" s="80"/>
      <c r="N12" s="81"/>
      <c r="O12" s="82"/>
      <c r="P12" s="81"/>
      <c r="Q12" s="91"/>
    </row>
    <row r="13" spans="2:17">
      <c r="B13" s="39">
        <v>45849</v>
      </c>
      <c r="C13" s="47" t="s">
        <v>184</v>
      </c>
      <c r="D13" s="41" t="s">
        <v>19</v>
      </c>
      <c r="E13" s="42" t="s">
        <v>222</v>
      </c>
      <c r="F13" s="43" t="s">
        <v>36</v>
      </c>
      <c r="G13" s="44"/>
      <c r="H13" s="45"/>
      <c r="I13" s="80"/>
      <c r="J13" s="38">
        <v>5500</v>
      </c>
      <c r="K13" s="83"/>
      <c r="L13" s="38"/>
      <c r="M13" s="80"/>
      <c r="N13" s="81"/>
      <c r="O13" s="82"/>
      <c r="P13" s="81"/>
      <c r="Q13" s="91"/>
    </row>
    <row r="14" spans="2:17">
      <c r="B14" s="39">
        <v>45849</v>
      </c>
      <c r="C14" s="40" t="s">
        <v>114</v>
      </c>
      <c r="D14" s="41" t="s">
        <v>19</v>
      </c>
      <c r="E14" s="42" t="s">
        <v>223</v>
      </c>
      <c r="F14" s="43" t="s">
        <v>36</v>
      </c>
      <c r="G14" s="44"/>
      <c r="H14" s="45"/>
      <c r="I14" s="80">
        <v>8500</v>
      </c>
      <c r="J14" s="38"/>
      <c r="K14" s="83"/>
      <c r="L14" s="38"/>
      <c r="M14" s="80"/>
      <c r="N14" s="81"/>
      <c r="O14" s="82"/>
      <c r="P14" s="81"/>
      <c r="Q14" s="91"/>
    </row>
    <row r="15" spans="2:17">
      <c r="B15" s="39">
        <v>45849</v>
      </c>
      <c r="C15" s="40" t="s">
        <v>114</v>
      </c>
      <c r="D15" s="41" t="s">
        <v>19</v>
      </c>
      <c r="E15" s="42" t="s">
        <v>224</v>
      </c>
      <c r="F15" s="43" t="s">
        <v>36</v>
      </c>
      <c r="G15" s="44"/>
      <c r="H15" s="45"/>
      <c r="I15" s="80">
        <v>76500</v>
      </c>
      <c r="J15" s="38"/>
      <c r="K15" s="83"/>
      <c r="L15" s="38"/>
      <c r="M15" s="80"/>
      <c r="N15" s="81"/>
      <c r="O15" s="82"/>
      <c r="P15" s="81"/>
      <c r="Q15" s="91"/>
    </row>
    <row r="16" spans="2:17">
      <c r="B16" s="39">
        <v>45849</v>
      </c>
      <c r="C16" s="40" t="s">
        <v>114</v>
      </c>
      <c r="D16" s="41" t="s">
        <v>19</v>
      </c>
      <c r="E16" s="42" t="s">
        <v>221</v>
      </c>
      <c r="F16" s="43" t="s">
        <v>36</v>
      </c>
      <c r="G16" s="44"/>
      <c r="H16" s="45"/>
      <c r="I16" s="80">
        <v>10688</v>
      </c>
      <c r="J16" s="38"/>
      <c r="K16" s="83"/>
      <c r="L16" s="38"/>
      <c r="M16" s="80"/>
      <c r="N16" s="81"/>
      <c r="O16" s="82"/>
      <c r="P16" s="81"/>
      <c r="Q16" s="91"/>
    </row>
    <row r="17" spans="2:17">
      <c r="B17" s="39">
        <v>45849</v>
      </c>
      <c r="C17" s="40" t="s">
        <v>114</v>
      </c>
      <c r="D17" s="41" t="s">
        <v>19</v>
      </c>
      <c r="E17" s="42" t="s">
        <v>225</v>
      </c>
      <c r="F17" s="43" t="s">
        <v>36</v>
      </c>
      <c r="G17" s="44"/>
      <c r="H17" s="45"/>
      <c r="I17" s="80">
        <v>96192</v>
      </c>
      <c r="J17" s="38"/>
      <c r="K17" s="83"/>
      <c r="L17" s="38"/>
      <c r="M17" s="80"/>
      <c r="N17" s="81"/>
      <c r="O17" s="82"/>
      <c r="P17" s="81"/>
      <c r="Q17" s="91"/>
    </row>
    <row r="18" spans="2:17">
      <c r="B18" s="39">
        <v>45849</v>
      </c>
      <c r="C18" s="40" t="s">
        <v>114</v>
      </c>
      <c r="D18" s="41" t="s">
        <v>19</v>
      </c>
      <c r="E18" s="42" t="s">
        <v>226</v>
      </c>
      <c r="F18" s="43" t="s">
        <v>36</v>
      </c>
      <c r="G18" s="44"/>
      <c r="H18" s="45"/>
      <c r="I18" s="80">
        <v>16416</v>
      </c>
      <c r="J18" s="38"/>
      <c r="K18" s="83"/>
      <c r="L18" s="38"/>
      <c r="M18" s="80"/>
      <c r="N18" s="81"/>
      <c r="O18" s="82"/>
      <c r="P18" s="81"/>
      <c r="Q18" s="91"/>
    </row>
    <row r="19" spans="2:17">
      <c r="B19" s="39">
        <v>45849</v>
      </c>
      <c r="C19" s="40" t="s">
        <v>114</v>
      </c>
      <c r="D19" s="41" t="s">
        <v>19</v>
      </c>
      <c r="E19" s="42" t="s">
        <v>227</v>
      </c>
      <c r="F19" s="43" t="s">
        <v>36</v>
      </c>
      <c r="G19" s="44"/>
      <c r="H19" s="45"/>
      <c r="I19" s="80">
        <v>147744</v>
      </c>
      <c r="J19" s="38"/>
      <c r="K19" s="83"/>
      <c r="L19" s="38"/>
      <c r="M19" s="80"/>
      <c r="N19" s="81"/>
      <c r="O19" s="82"/>
      <c r="P19" s="81"/>
      <c r="Q19" s="91"/>
    </row>
    <row r="20" spans="2:17">
      <c r="B20" s="39">
        <v>45859</v>
      </c>
      <c r="C20" s="47" t="s">
        <v>228</v>
      </c>
      <c r="D20" s="41" t="s">
        <v>19</v>
      </c>
      <c r="E20" s="42" t="s">
        <v>229</v>
      </c>
      <c r="F20" s="43" t="s">
        <v>36</v>
      </c>
      <c r="G20" s="44"/>
      <c r="H20" s="45"/>
      <c r="I20" s="80"/>
      <c r="J20" s="38">
        <v>2400</v>
      </c>
      <c r="K20" s="83"/>
      <c r="L20" s="38"/>
      <c r="M20" s="80"/>
      <c r="N20" s="81"/>
      <c r="O20" s="82"/>
      <c r="P20" s="81"/>
      <c r="Q20" s="91"/>
    </row>
    <row r="21" spans="2:17">
      <c r="B21" s="39">
        <v>45859</v>
      </c>
      <c r="C21" s="47" t="s">
        <v>228</v>
      </c>
      <c r="D21" s="41" t="s">
        <v>19</v>
      </c>
      <c r="E21" s="42" t="s">
        <v>230</v>
      </c>
      <c r="F21" s="43" t="s">
        <v>36</v>
      </c>
      <c r="G21" s="44"/>
      <c r="H21" s="45"/>
      <c r="I21" s="80"/>
      <c r="J21" s="38">
        <v>2000</v>
      </c>
      <c r="K21" s="83"/>
      <c r="L21" s="38"/>
      <c r="M21" s="80"/>
      <c r="N21" s="81"/>
      <c r="O21" s="82"/>
      <c r="P21" s="81"/>
      <c r="Q21" s="91"/>
    </row>
    <row r="22" spans="2:17">
      <c r="B22" s="39">
        <v>45862</v>
      </c>
      <c r="C22" s="47" t="s">
        <v>231</v>
      </c>
      <c r="D22" s="41" t="s">
        <v>19</v>
      </c>
      <c r="E22" s="42" t="s">
        <v>232</v>
      </c>
      <c r="F22" s="43" t="s">
        <v>36</v>
      </c>
      <c r="G22" s="44"/>
      <c r="H22" s="45"/>
      <c r="I22" s="80"/>
      <c r="J22" s="38">
        <v>2300</v>
      </c>
      <c r="K22" s="83"/>
      <c r="L22" s="38"/>
      <c r="M22" s="80"/>
      <c r="N22" s="81"/>
      <c r="O22" s="82"/>
      <c r="P22" s="81"/>
      <c r="Q22" s="91"/>
    </row>
    <row r="23" spans="2:17">
      <c r="B23" s="39"/>
      <c r="C23" s="47"/>
      <c r="D23" s="41"/>
      <c r="E23" s="42"/>
      <c r="F23" s="95"/>
      <c r="G23" s="44"/>
      <c r="H23" s="45"/>
      <c r="I23" s="80"/>
      <c r="J23" s="38"/>
      <c r="K23" s="83"/>
      <c r="L23" s="38"/>
      <c r="M23" s="80"/>
      <c r="N23" s="81"/>
      <c r="O23" s="82"/>
      <c r="P23" s="81"/>
      <c r="Q23" s="91"/>
    </row>
    <row r="24" ht="15.15" spans="2:17">
      <c r="B24" s="39"/>
      <c r="C24" s="47"/>
      <c r="D24" s="48"/>
      <c r="E24" s="47"/>
      <c r="F24" s="49"/>
      <c r="G24" s="44"/>
      <c r="H24" s="45"/>
      <c r="I24" s="82"/>
      <c r="J24" s="38"/>
      <c r="K24" s="83"/>
      <c r="L24" s="38"/>
      <c r="M24" s="80"/>
      <c r="N24" s="81"/>
      <c r="O24" s="83"/>
      <c r="P24" s="81"/>
      <c r="Q24" s="80"/>
    </row>
    <row r="25" ht="15.15" spans="2:17">
      <c r="B25" s="50"/>
      <c r="C25" s="51"/>
      <c r="D25" s="52"/>
      <c r="E25" s="53"/>
      <c r="F25" s="52"/>
      <c r="G25" s="54">
        <f t="shared" ref="G25:Q25" si="1">SUM(G8:G24)</f>
        <v>0</v>
      </c>
      <c r="H25" s="55">
        <f t="shared" si="1"/>
        <v>0</v>
      </c>
      <c r="I25" s="84">
        <f t="shared" si="1"/>
        <v>356040</v>
      </c>
      <c r="J25" s="85">
        <f t="shared" si="1"/>
        <v>22667.8</v>
      </c>
      <c r="K25" s="86">
        <f t="shared" si="1"/>
        <v>258757.39</v>
      </c>
      <c r="L25" s="87">
        <f t="shared" si="1"/>
        <v>0</v>
      </c>
      <c r="M25" s="88">
        <f t="shared" si="1"/>
        <v>0</v>
      </c>
      <c r="N25" s="89">
        <f t="shared" si="1"/>
        <v>0</v>
      </c>
      <c r="O25" s="89">
        <f t="shared" si="1"/>
        <v>0</v>
      </c>
      <c r="P25" s="55">
        <f t="shared" si="1"/>
        <v>0</v>
      </c>
      <c r="Q25" s="92">
        <f t="shared" si="1"/>
        <v>0</v>
      </c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="2" customFormat="1" spans="1:22">
      <c r="A31" s="6"/>
      <c r="B31" s="3"/>
      <c r="C31"/>
      <c r="D31" s="1"/>
      <c r="E31"/>
      <c r="F31" s="4"/>
      <c r="G31" s="5"/>
      <c r="H31"/>
      <c r="I31" s="6"/>
      <c r="J31" s="1"/>
      <c r="K31" s="1"/>
      <c r="L31" s="1"/>
      <c r="M31" s="1"/>
      <c r="N31" s="1"/>
      <c r="O31" s="1"/>
      <c r="P31" s="7"/>
      <c r="Q31" s="1"/>
      <c r="R31"/>
      <c r="S31"/>
      <c r="T31"/>
      <c r="U31"/>
      <c r="V31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0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F28" sqref="F28:F31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233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547206.31</v>
      </c>
      <c r="E3" s="17"/>
      <c r="F3" s="18">
        <f>D3+D4</f>
        <v>781499.09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7</v>
      </c>
      <c r="Q3" s="64"/>
    </row>
    <row r="4" ht="15.15" spans="2:17">
      <c r="B4" s="21" t="s">
        <v>8</v>
      </c>
      <c r="C4" s="22"/>
      <c r="D4" s="23">
        <f>H5+J5+L5+N5+P5</f>
        <v>234292.78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G34</f>
        <v>0</v>
      </c>
      <c r="H5" s="32">
        <f t="shared" si="0"/>
        <v>191760</v>
      </c>
      <c r="I5" s="73">
        <f t="shared" si="0"/>
        <v>308720</v>
      </c>
      <c r="J5" s="32">
        <f t="shared" si="0"/>
        <v>42532.78</v>
      </c>
      <c r="K5" s="73">
        <f t="shared" si="0"/>
        <v>238486.31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45870</v>
      </c>
      <c r="C8" s="47" t="s">
        <v>234</v>
      </c>
      <c r="D8" s="41" t="s">
        <v>49</v>
      </c>
      <c r="E8" s="42" t="s">
        <v>235</v>
      </c>
      <c r="F8" s="43" t="s">
        <v>36</v>
      </c>
      <c r="G8" s="44"/>
      <c r="H8" s="45"/>
      <c r="I8" s="80"/>
      <c r="J8" s="38"/>
      <c r="K8" s="80">
        <v>4562.28</v>
      </c>
      <c r="L8" s="38"/>
      <c r="M8" s="80"/>
      <c r="N8" s="81"/>
      <c r="O8" s="82"/>
      <c r="P8" s="81"/>
      <c r="Q8" s="91"/>
    </row>
    <row r="9" spans="2:17">
      <c r="B9" s="39">
        <v>45870</v>
      </c>
      <c r="C9" s="47" t="s">
        <v>234</v>
      </c>
      <c r="D9" s="41" t="s">
        <v>49</v>
      </c>
      <c r="E9" s="42" t="s">
        <v>236</v>
      </c>
      <c r="F9" s="43" t="s">
        <v>36</v>
      </c>
      <c r="G9" s="44"/>
      <c r="H9" s="45"/>
      <c r="I9" s="80"/>
      <c r="J9" s="38"/>
      <c r="K9" s="80">
        <v>31280</v>
      </c>
      <c r="L9" s="38"/>
      <c r="M9" s="80"/>
      <c r="N9" s="81"/>
      <c r="O9" s="82"/>
      <c r="P9" s="81"/>
      <c r="Q9" s="91"/>
    </row>
    <row r="10" spans="2:17">
      <c r="B10" s="39">
        <v>45873</v>
      </c>
      <c r="C10" s="47" t="s">
        <v>48</v>
      </c>
      <c r="D10" s="41" t="s">
        <v>49</v>
      </c>
      <c r="E10" s="42"/>
      <c r="F10" s="43" t="s">
        <v>36</v>
      </c>
      <c r="G10" s="44"/>
      <c r="H10" s="45"/>
      <c r="I10" s="80"/>
      <c r="J10" s="38"/>
      <c r="K10" s="80">
        <v>6826.95</v>
      </c>
      <c r="L10" s="38"/>
      <c r="M10" s="80"/>
      <c r="N10" s="81"/>
      <c r="O10" s="82"/>
      <c r="P10" s="81"/>
      <c r="Q10" s="91"/>
    </row>
    <row r="11" spans="2:17">
      <c r="B11" s="39">
        <v>45873</v>
      </c>
      <c r="C11" s="47" t="s">
        <v>48</v>
      </c>
      <c r="D11" s="41" t="s">
        <v>49</v>
      </c>
      <c r="E11" s="42" t="s">
        <v>237</v>
      </c>
      <c r="F11" s="43" t="s">
        <v>36</v>
      </c>
      <c r="G11" s="44"/>
      <c r="H11" s="45"/>
      <c r="I11" s="80"/>
      <c r="J11" s="38"/>
      <c r="K11" s="80">
        <v>9102.6</v>
      </c>
      <c r="L11" s="38"/>
      <c r="M11" s="80"/>
      <c r="N11" s="81"/>
      <c r="O11" s="82"/>
      <c r="P11" s="81"/>
      <c r="Q11" s="91"/>
    </row>
    <row r="12" spans="2:17">
      <c r="B12" s="39">
        <v>45877</v>
      </c>
      <c r="C12" s="47" t="s">
        <v>238</v>
      </c>
      <c r="D12" s="41" t="s">
        <v>19</v>
      </c>
      <c r="E12" s="42" t="s">
        <v>239</v>
      </c>
      <c r="F12" s="43" t="s">
        <v>36</v>
      </c>
      <c r="G12" s="44"/>
      <c r="H12" s="45"/>
      <c r="I12" s="80"/>
      <c r="J12" s="38">
        <v>10000</v>
      </c>
      <c r="K12" s="80"/>
      <c r="L12" s="38"/>
      <c r="M12" s="80"/>
      <c r="N12" s="81"/>
      <c r="O12" s="82"/>
      <c r="P12" s="81"/>
      <c r="Q12" s="91"/>
    </row>
    <row r="13" spans="2:17">
      <c r="B13" s="39">
        <v>45880</v>
      </c>
      <c r="C13" s="40" t="s">
        <v>240</v>
      </c>
      <c r="D13" s="41" t="s">
        <v>49</v>
      </c>
      <c r="E13" s="42" t="s">
        <v>241</v>
      </c>
      <c r="F13" s="43" t="s">
        <v>36</v>
      </c>
      <c r="G13" s="44"/>
      <c r="H13" s="45"/>
      <c r="I13" s="80"/>
      <c r="J13" s="38"/>
      <c r="K13" s="80">
        <v>6168.75</v>
      </c>
      <c r="L13" s="38"/>
      <c r="M13" s="80"/>
      <c r="N13" s="81"/>
      <c r="O13" s="82"/>
      <c r="P13" s="81"/>
      <c r="Q13" s="91"/>
    </row>
    <row r="14" spans="2:17">
      <c r="B14" s="39">
        <v>45880</v>
      </c>
      <c r="C14" s="40" t="s">
        <v>240</v>
      </c>
      <c r="D14" s="41" t="s">
        <v>49</v>
      </c>
      <c r="E14" s="42" t="s">
        <v>242</v>
      </c>
      <c r="F14" s="43" t="s">
        <v>36</v>
      </c>
      <c r="G14" s="44"/>
      <c r="H14" s="45"/>
      <c r="I14" s="80"/>
      <c r="J14" s="38"/>
      <c r="K14" s="91">
        <v>34956.25</v>
      </c>
      <c r="L14" s="38"/>
      <c r="M14" s="80"/>
      <c r="N14" s="81"/>
      <c r="O14" s="82"/>
      <c r="P14" s="81"/>
      <c r="Q14" s="91"/>
    </row>
    <row r="15" spans="2:17">
      <c r="B15" s="39">
        <v>45880</v>
      </c>
      <c r="C15" s="40" t="s">
        <v>114</v>
      </c>
      <c r="D15" s="41" t="s">
        <v>19</v>
      </c>
      <c r="E15" s="42" t="s">
        <v>137</v>
      </c>
      <c r="F15" s="43" t="s">
        <v>36</v>
      </c>
      <c r="G15" s="44"/>
      <c r="H15" s="45"/>
      <c r="I15" s="80">
        <v>33840</v>
      </c>
      <c r="J15" s="38"/>
      <c r="K15" s="83"/>
      <c r="L15" s="38"/>
      <c r="M15" s="80"/>
      <c r="N15" s="81"/>
      <c r="O15" s="82"/>
      <c r="P15" s="81"/>
      <c r="Q15" s="91"/>
    </row>
    <row r="16" spans="2:17">
      <c r="B16" s="39">
        <v>45880</v>
      </c>
      <c r="C16" s="40" t="s">
        <v>114</v>
      </c>
      <c r="D16" s="41" t="s">
        <v>19</v>
      </c>
      <c r="E16" s="42" t="s">
        <v>243</v>
      </c>
      <c r="F16" s="43" t="s">
        <v>36</v>
      </c>
      <c r="G16" s="44"/>
      <c r="H16" s="45">
        <v>191760</v>
      </c>
      <c r="I16" s="80"/>
      <c r="J16" s="38"/>
      <c r="K16" s="83"/>
      <c r="L16" s="38"/>
      <c r="M16" s="80"/>
      <c r="N16" s="81"/>
      <c r="O16" s="82"/>
      <c r="P16" s="81"/>
      <c r="Q16" s="91"/>
    </row>
    <row r="17" spans="2:17">
      <c r="B17" s="39">
        <v>45880</v>
      </c>
      <c r="C17" s="40" t="s">
        <v>114</v>
      </c>
      <c r="D17" s="41" t="s">
        <v>19</v>
      </c>
      <c r="E17" s="42" t="s">
        <v>105</v>
      </c>
      <c r="F17" s="43" t="s">
        <v>36</v>
      </c>
      <c r="G17" s="44"/>
      <c r="H17" s="45"/>
      <c r="I17" s="80">
        <v>12000</v>
      </c>
      <c r="J17" s="38"/>
      <c r="K17" s="83"/>
      <c r="L17" s="38"/>
      <c r="M17" s="80"/>
      <c r="N17" s="81"/>
      <c r="O17" s="82"/>
      <c r="P17" s="81"/>
      <c r="Q17" s="91"/>
    </row>
    <row r="18" spans="2:17">
      <c r="B18" s="39">
        <v>45880</v>
      </c>
      <c r="C18" s="40" t="s">
        <v>114</v>
      </c>
      <c r="D18" s="41" t="s">
        <v>19</v>
      </c>
      <c r="E18" s="42" t="s">
        <v>244</v>
      </c>
      <c r="F18" s="43" t="s">
        <v>36</v>
      </c>
      <c r="G18" s="44"/>
      <c r="H18" s="45"/>
      <c r="I18" s="80">
        <v>108000</v>
      </c>
      <c r="J18" s="38"/>
      <c r="K18" s="83"/>
      <c r="L18" s="38"/>
      <c r="M18" s="80"/>
      <c r="N18" s="81"/>
      <c r="O18" s="82"/>
      <c r="P18" s="81"/>
      <c r="Q18" s="91"/>
    </row>
    <row r="19" spans="2:17">
      <c r="B19" s="39">
        <v>45880</v>
      </c>
      <c r="C19" s="40" t="s">
        <v>114</v>
      </c>
      <c r="D19" s="41" t="s">
        <v>19</v>
      </c>
      <c r="E19" s="42" t="s">
        <v>106</v>
      </c>
      <c r="F19" s="43" t="s">
        <v>36</v>
      </c>
      <c r="G19" s="44"/>
      <c r="H19" s="45"/>
      <c r="I19" s="80">
        <v>15488</v>
      </c>
      <c r="J19" s="38"/>
      <c r="K19" s="83"/>
      <c r="L19" s="38"/>
      <c r="M19" s="80"/>
      <c r="N19" s="81"/>
      <c r="O19" s="82"/>
      <c r="P19" s="81"/>
      <c r="Q19" s="91"/>
    </row>
    <row r="20" spans="2:17">
      <c r="B20" s="39">
        <v>45880</v>
      </c>
      <c r="C20" s="40" t="s">
        <v>114</v>
      </c>
      <c r="D20" s="41" t="s">
        <v>19</v>
      </c>
      <c r="E20" s="42" t="s">
        <v>245</v>
      </c>
      <c r="F20" s="43" t="s">
        <v>36</v>
      </c>
      <c r="G20" s="44"/>
      <c r="H20" s="45"/>
      <c r="I20" s="80">
        <v>139392</v>
      </c>
      <c r="J20" s="38"/>
      <c r="K20" s="83"/>
      <c r="L20" s="38"/>
      <c r="M20" s="80"/>
      <c r="N20" s="81"/>
      <c r="O20" s="82"/>
      <c r="P20" s="81"/>
      <c r="Q20" s="91"/>
    </row>
    <row r="21" spans="2:17">
      <c r="B21" s="39">
        <v>45881</v>
      </c>
      <c r="C21" s="47" t="s">
        <v>246</v>
      </c>
      <c r="D21" s="41" t="s">
        <v>19</v>
      </c>
      <c r="E21" s="42" t="s">
        <v>247</v>
      </c>
      <c r="F21" s="43" t="s">
        <v>36</v>
      </c>
      <c r="G21" s="44"/>
      <c r="H21" s="45"/>
      <c r="I21" s="80"/>
      <c r="J21" s="38">
        <v>4481.28</v>
      </c>
      <c r="K21" s="83"/>
      <c r="L21" s="38"/>
      <c r="M21" s="80"/>
      <c r="N21" s="81"/>
      <c r="O21" s="82"/>
      <c r="P21" s="81"/>
      <c r="Q21" s="91"/>
    </row>
    <row r="22" spans="2:17">
      <c r="B22" s="39">
        <v>45881</v>
      </c>
      <c r="C22" s="47" t="s">
        <v>248</v>
      </c>
      <c r="D22" s="41" t="s">
        <v>170</v>
      </c>
      <c r="E22" s="42"/>
      <c r="F22" s="43" t="s">
        <v>36</v>
      </c>
      <c r="G22" s="44"/>
      <c r="H22" s="45"/>
      <c r="I22" s="80"/>
      <c r="J22" s="38"/>
      <c r="K22" s="80">
        <v>6400</v>
      </c>
      <c r="L22" s="38"/>
      <c r="M22" s="80"/>
      <c r="N22" s="81"/>
      <c r="O22" s="82"/>
      <c r="P22" s="81"/>
      <c r="Q22" s="91"/>
    </row>
    <row r="23" spans="2:17">
      <c r="B23" s="39">
        <v>45883</v>
      </c>
      <c r="C23" s="47" t="s">
        <v>249</v>
      </c>
      <c r="D23" s="41" t="s">
        <v>170</v>
      </c>
      <c r="E23" s="42"/>
      <c r="F23" s="43" t="s">
        <v>36</v>
      </c>
      <c r="G23" s="44"/>
      <c r="H23" s="45"/>
      <c r="I23" s="80"/>
      <c r="J23" s="38"/>
      <c r="K23" s="80">
        <v>2600</v>
      </c>
      <c r="L23" s="38"/>
      <c r="M23" s="80"/>
      <c r="N23" s="81"/>
      <c r="O23" s="82"/>
      <c r="P23" s="81"/>
      <c r="Q23" s="91"/>
    </row>
    <row r="24" spans="2:17">
      <c r="B24" s="39">
        <v>45884</v>
      </c>
      <c r="C24" s="47" t="s">
        <v>250</v>
      </c>
      <c r="D24" s="41" t="s">
        <v>19</v>
      </c>
      <c r="E24" s="42"/>
      <c r="F24" s="43" t="s">
        <v>36</v>
      </c>
      <c r="G24" s="44"/>
      <c r="H24" s="45"/>
      <c r="I24" s="80"/>
      <c r="J24" s="38">
        <v>2600</v>
      </c>
      <c r="K24" s="83"/>
      <c r="L24" s="38"/>
      <c r="M24" s="80"/>
      <c r="N24" s="81"/>
      <c r="O24" s="82"/>
      <c r="P24" s="81"/>
      <c r="Q24" s="91"/>
    </row>
    <row r="25" spans="2:17">
      <c r="B25" s="39">
        <v>45884</v>
      </c>
      <c r="C25" s="47" t="s">
        <v>250</v>
      </c>
      <c r="D25" s="41" t="s">
        <v>19</v>
      </c>
      <c r="E25" s="42"/>
      <c r="F25" s="43" t="s">
        <v>36</v>
      </c>
      <c r="G25" s="44"/>
      <c r="H25" s="45"/>
      <c r="I25" s="80"/>
      <c r="J25" s="38">
        <v>2600</v>
      </c>
      <c r="K25" s="83"/>
      <c r="L25" s="38"/>
      <c r="M25" s="80"/>
      <c r="N25" s="81"/>
      <c r="O25" s="82"/>
      <c r="P25" s="81"/>
      <c r="Q25" s="91"/>
    </row>
    <row r="26" spans="2:17">
      <c r="B26" s="39">
        <v>45884</v>
      </c>
      <c r="C26" s="47" t="s">
        <v>250</v>
      </c>
      <c r="D26" s="41" t="s">
        <v>19</v>
      </c>
      <c r="E26" s="42"/>
      <c r="F26" s="43" t="s">
        <v>36</v>
      </c>
      <c r="G26" s="44"/>
      <c r="H26" s="45"/>
      <c r="I26" s="80"/>
      <c r="J26" s="38">
        <v>2600</v>
      </c>
      <c r="K26" s="83"/>
      <c r="L26" s="38"/>
      <c r="M26" s="80"/>
      <c r="N26" s="81"/>
      <c r="O26" s="82"/>
      <c r="P26" s="81"/>
      <c r="Q26" s="91"/>
    </row>
    <row r="27" spans="2:17">
      <c r="B27" s="39">
        <v>45889</v>
      </c>
      <c r="C27" s="40" t="s">
        <v>111</v>
      </c>
      <c r="D27" s="41" t="s">
        <v>19</v>
      </c>
      <c r="E27" s="42" t="s">
        <v>185</v>
      </c>
      <c r="F27" s="43" t="s">
        <v>36</v>
      </c>
      <c r="G27" s="44"/>
      <c r="H27" s="45"/>
      <c r="I27" s="80"/>
      <c r="J27" s="38"/>
      <c r="K27" s="80">
        <v>17731.23</v>
      </c>
      <c r="L27" s="38"/>
      <c r="M27" s="80"/>
      <c r="N27" s="81"/>
      <c r="O27" s="82"/>
      <c r="P27" s="81"/>
      <c r="Q27" s="91"/>
    </row>
    <row r="28" spans="2:17">
      <c r="B28" s="39">
        <v>45889</v>
      </c>
      <c r="C28" s="40" t="s">
        <v>111</v>
      </c>
      <c r="D28" s="41" t="s">
        <v>19</v>
      </c>
      <c r="E28" s="42" t="s">
        <v>251</v>
      </c>
      <c r="F28" s="43" t="s">
        <v>36</v>
      </c>
      <c r="G28" s="44"/>
      <c r="H28" s="45"/>
      <c r="I28" s="80"/>
      <c r="J28" s="38"/>
      <c r="K28" s="80">
        <v>118858.25</v>
      </c>
      <c r="L28" s="38"/>
      <c r="M28" s="80"/>
      <c r="N28" s="81"/>
      <c r="O28" s="82"/>
      <c r="P28" s="81"/>
      <c r="Q28" s="91"/>
    </row>
    <row r="29" spans="2:17">
      <c r="B29" s="39">
        <v>45891</v>
      </c>
      <c r="C29" s="47" t="s">
        <v>252</v>
      </c>
      <c r="D29" s="41" t="s">
        <v>19</v>
      </c>
      <c r="E29" s="42" t="s">
        <v>253</v>
      </c>
      <c r="F29" s="43" t="s">
        <v>36</v>
      </c>
      <c r="G29" s="44"/>
      <c r="H29" s="45"/>
      <c r="I29" s="80"/>
      <c r="J29" s="38">
        <v>5251.5</v>
      </c>
      <c r="K29" s="83"/>
      <c r="L29" s="38"/>
      <c r="M29" s="80"/>
      <c r="N29" s="81"/>
      <c r="O29" s="82"/>
      <c r="P29" s="81"/>
      <c r="Q29" s="91"/>
    </row>
    <row r="30" spans="2:17">
      <c r="B30" s="39">
        <v>45892</v>
      </c>
      <c r="C30" s="47" t="s">
        <v>238</v>
      </c>
      <c r="D30" s="41" t="s">
        <v>19</v>
      </c>
      <c r="E30" s="42" t="s">
        <v>254</v>
      </c>
      <c r="F30" s="43" t="s">
        <v>36</v>
      </c>
      <c r="G30" s="44"/>
      <c r="H30" s="45"/>
      <c r="I30" s="80"/>
      <c r="J30" s="38">
        <v>10000</v>
      </c>
      <c r="K30" s="83"/>
      <c r="L30" s="38"/>
      <c r="M30" s="80"/>
      <c r="N30" s="81"/>
      <c r="O30" s="82"/>
      <c r="P30" s="81"/>
      <c r="Q30" s="91"/>
    </row>
    <row r="31" spans="2:17">
      <c r="B31" s="39">
        <v>45898</v>
      </c>
      <c r="C31" s="47" t="s">
        <v>255</v>
      </c>
      <c r="D31" s="41" t="s">
        <v>19</v>
      </c>
      <c r="E31" s="42" t="s">
        <v>256</v>
      </c>
      <c r="F31" s="43" t="s">
        <v>36</v>
      </c>
      <c r="G31" s="44"/>
      <c r="H31" s="45"/>
      <c r="I31" s="80"/>
      <c r="J31" s="38">
        <v>5000</v>
      </c>
      <c r="K31" s="83"/>
      <c r="L31" s="38"/>
      <c r="M31" s="80"/>
      <c r="N31" s="81"/>
      <c r="O31" s="82"/>
      <c r="P31" s="81"/>
      <c r="Q31" s="91"/>
    </row>
    <row r="32" spans="2:17">
      <c r="B32" s="39"/>
      <c r="C32" s="47"/>
      <c r="D32" s="41"/>
      <c r="E32" s="42"/>
      <c r="F32" s="49"/>
      <c r="G32" s="44"/>
      <c r="H32" s="45"/>
      <c r="I32" s="80"/>
      <c r="J32" s="38"/>
      <c r="K32" s="83"/>
      <c r="L32" s="38"/>
      <c r="M32" s="80"/>
      <c r="N32" s="81"/>
      <c r="O32" s="82"/>
      <c r="P32" s="81"/>
      <c r="Q32" s="91"/>
    </row>
    <row r="33" ht="15.15" spans="2:17">
      <c r="B33" s="39"/>
      <c r="C33" s="47"/>
      <c r="D33" s="48"/>
      <c r="E33" s="47"/>
      <c r="F33" s="49"/>
      <c r="G33" s="44"/>
      <c r="H33" s="45"/>
      <c r="I33" s="82"/>
      <c r="J33" s="38"/>
      <c r="K33" s="83"/>
      <c r="L33" s="38"/>
      <c r="M33" s="80"/>
      <c r="N33" s="81"/>
      <c r="O33" s="83"/>
      <c r="P33" s="81"/>
      <c r="Q33" s="80"/>
    </row>
    <row r="34" ht="15.15" spans="2:17">
      <c r="B34" s="50"/>
      <c r="C34" s="51"/>
      <c r="D34" s="52"/>
      <c r="E34" s="53"/>
      <c r="F34" s="52"/>
      <c r="G34" s="54">
        <f t="shared" ref="G34:Q34" si="1">SUM(G8:G33)</f>
        <v>0</v>
      </c>
      <c r="H34" s="55">
        <f t="shared" si="1"/>
        <v>191760</v>
      </c>
      <c r="I34" s="84">
        <f t="shared" si="1"/>
        <v>308720</v>
      </c>
      <c r="J34" s="85">
        <f t="shared" si="1"/>
        <v>42532.78</v>
      </c>
      <c r="K34" s="86">
        <f t="shared" si="1"/>
        <v>238486.31</v>
      </c>
      <c r="L34" s="87">
        <f t="shared" si="1"/>
        <v>0</v>
      </c>
      <c r="M34" s="88">
        <f t="shared" si="1"/>
        <v>0</v>
      </c>
      <c r="N34" s="89">
        <f t="shared" si="1"/>
        <v>0</v>
      </c>
      <c r="O34" s="89">
        <f t="shared" si="1"/>
        <v>0</v>
      </c>
      <c r="P34" s="55">
        <f t="shared" si="1"/>
        <v>0</v>
      </c>
      <c r="Q34" s="92">
        <f t="shared" si="1"/>
        <v>0</v>
      </c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="2" customFormat="1" spans="1:22">
      <c r="A40" s="6"/>
      <c r="B40" s="3"/>
      <c r="C40"/>
      <c r="D40" s="1"/>
      <c r="E40"/>
      <c r="F40" s="4"/>
      <c r="G40" s="5"/>
      <c r="H40"/>
      <c r="I40" s="6"/>
      <c r="J40" s="1"/>
      <c r="K40" s="1"/>
      <c r="L40" s="1"/>
      <c r="M40" s="1"/>
      <c r="N40" s="1"/>
      <c r="O40" s="1"/>
      <c r="P40" s="7"/>
      <c r="Q40" s="1"/>
      <c r="R40"/>
      <c r="S40"/>
      <c r="T40"/>
      <c r="U40"/>
      <c r="V40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38"/>
  <sheetViews>
    <sheetView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B3" sqref="B3:C3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257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355718.55</v>
      </c>
      <c r="E3" s="17"/>
      <c r="F3" s="18">
        <f>D3+D4</f>
        <v>372970.05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258</v>
      </c>
      <c r="Q3" s="64"/>
    </row>
    <row r="4" ht="15.15" spans="2:17">
      <c r="B4" s="21" t="s">
        <v>8</v>
      </c>
      <c r="C4" s="22"/>
      <c r="D4" s="23">
        <f>H5+J5+L5+N5+P5</f>
        <v>17251.5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G32</f>
        <v>0</v>
      </c>
      <c r="H5" s="32">
        <f t="shared" si="0"/>
        <v>0</v>
      </c>
      <c r="I5" s="73">
        <f t="shared" si="0"/>
        <v>121088.55</v>
      </c>
      <c r="J5" s="32">
        <f t="shared" si="0"/>
        <v>17251.5</v>
      </c>
      <c r="K5" s="73">
        <f t="shared" si="0"/>
        <v>145420</v>
      </c>
      <c r="L5" s="32">
        <f t="shared" si="0"/>
        <v>0</v>
      </c>
      <c r="M5" s="73">
        <f t="shared" si="0"/>
        <v>70210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19000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45901</v>
      </c>
      <c r="C8" s="40" t="s">
        <v>114</v>
      </c>
      <c r="D8" s="41" t="s">
        <v>19</v>
      </c>
      <c r="E8" s="42" t="s">
        <v>180</v>
      </c>
      <c r="F8" s="43" t="s">
        <v>36</v>
      </c>
      <c r="G8" s="44"/>
      <c r="H8" s="45"/>
      <c r="I8" s="80"/>
      <c r="J8" s="38"/>
      <c r="K8" s="80">
        <v>5972</v>
      </c>
      <c r="L8" s="38"/>
      <c r="M8" s="80"/>
      <c r="N8" s="81"/>
      <c r="O8" s="82"/>
      <c r="P8" s="81"/>
      <c r="Q8" s="91"/>
    </row>
    <row r="9" spans="2:17">
      <c r="B9" s="39">
        <v>45901</v>
      </c>
      <c r="C9" s="40" t="s">
        <v>114</v>
      </c>
      <c r="D9" s="41" t="s">
        <v>19</v>
      </c>
      <c r="E9" s="42" t="s">
        <v>259</v>
      </c>
      <c r="F9" s="43" t="s">
        <v>36</v>
      </c>
      <c r="G9" s="44"/>
      <c r="H9" s="45"/>
      <c r="I9" s="80"/>
      <c r="J9" s="38"/>
      <c r="K9" s="80">
        <v>53748</v>
      </c>
      <c r="L9" s="38"/>
      <c r="M9" s="80"/>
      <c r="N9" s="81"/>
      <c r="O9" s="82"/>
      <c r="P9" s="81"/>
      <c r="Q9" s="91"/>
    </row>
    <row r="10" spans="2:17">
      <c r="B10" s="39">
        <v>45901</v>
      </c>
      <c r="C10" s="40" t="s">
        <v>114</v>
      </c>
      <c r="D10" s="41" t="s">
        <v>19</v>
      </c>
      <c r="E10" s="42" t="s">
        <v>198</v>
      </c>
      <c r="F10" s="43" t="s">
        <v>36</v>
      </c>
      <c r="G10" s="44"/>
      <c r="H10" s="45"/>
      <c r="I10" s="80"/>
      <c r="J10" s="38"/>
      <c r="K10" s="80">
        <v>3820</v>
      </c>
      <c r="L10" s="38"/>
      <c r="M10" s="80"/>
      <c r="N10" s="81"/>
      <c r="O10" s="82"/>
      <c r="P10" s="81"/>
      <c r="Q10" s="91"/>
    </row>
    <row r="11" spans="2:17">
      <c r="B11" s="39">
        <v>45901</v>
      </c>
      <c r="C11" s="40" t="s">
        <v>114</v>
      </c>
      <c r="D11" s="41" t="s">
        <v>19</v>
      </c>
      <c r="E11" s="42" t="s">
        <v>260</v>
      </c>
      <c r="F11" s="43" t="s">
        <v>36</v>
      </c>
      <c r="G11" s="44"/>
      <c r="H11" s="45"/>
      <c r="I11" s="80"/>
      <c r="J11" s="38"/>
      <c r="K11" s="80">
        <v>34380</v>
      </c>
      <c r="L11" s="38"/>
      <c r="M11" s="80"/>
      <c r="N11" s="81"/>
      <c r="O11" s="82"/>
      <c r="P11" s="81"/>
      <c r="Q11" s="91"/>
    </row>
    <row r="12" spans="2:17">
      <c r="B12" s="39">
        <v>45901</v>
      </c>
      <c r="C12" s="40" t="s">
        <v>114</v>
      </c>
      <c r="D12" s="41" t="s">
        <v>19</v>
      </c>
      <c r="E12" s="42" t="s">
        <v>261</v>
      </c>
      <c r="F12" s="43" t="s">
        <v>36</v>
      </c>
      <c r="G12" s="44"/>
      <c r="H12" s="45"/>
      <c r="I12" s="80"/>
      <c r="J12" s="38"/>
      <c r="K12" s="80">
        <v>4750</v>
      </c>
      <c r="L12" s="38"/>
      <c r="M12" s="80"/>
      <c r="N12" s="81"/>
      <c r="O12" s="82"/>
      <c r="P12" s="81"/>
      <c r="Q12" s="91"/>
    </row>
    <row r="13" spans="2:17">
      <c r="B13" s="39">
        <v>45901</v>
      </c>
      <c r="C13" s="40" t="s">
        <v>114</v>
      </c>
      <c r="D13" s="41" t="s">
        <v>19</v>
      </c>
      <c r="E13" s="42" t="s">
        <v>262</v>
      </c>
      <c r="F13" s="43" t="s">
        <v>36</v>
      </c>
      <c r="G13" s="44"/>
      <c r="H13" s="45"/>
      <c r="I13" s="80"/>
      <c r="J13" s="38"/>
      <c r="K13" s="80">
        <v>42750</v>
      </c>
      <c r="L13" s="38"/>
      <c r="M13" s="80"/>
      <c r="N13" s="81"/>
      <c r="O13" s="82"/>
      <c r="P13" s="81"/>
      <c r="Q13" s="91"/>
    </row>
    <row r="14" spans="2:17">
      <c r="B14" s="39">
        <v>45902</v>
      </c>
      <c r="C14" s="40" t="s">
        <v>263</v>
      </c>
      <c r="D14" s="41" t="s">
        <v>49</v>
      </c>
      <c r="E14" s="42"/>
      <c r="F14" s="43" t="s">
        <v>36</v>
      </c>
      <c r="G14" s="44"/>
      <c r="H14" s="45"/>
      <c r="I14" s="80">
        <v>9893.21</v>
      </c>
      <c r="J14" s="38"/>
      <c r="K14" s="80"/>
      <c r="L14" s="38"/>
      <c r="M14" s="80"/>
      <c r="N14" s="81"/>
      <c r="O14" s="82"/>
      <c r="P14" s="81"/>
      <c r="Q14" s="91"/>
    </row>
    <row r="15" spans="2:17">
      <c r="B15" s="39">
        <v>45902</v>
      </c>
      <c r="C15" s="40" t="s">
        <v>263</v>
      </c>
      <c r="D15" s="41" t="s">
        <v>49</v>
      </c>
      <c r="E15" s="42"/>
      <c r="F15" s="43" t="s">
        <v>36</v>
      </c>
      <c r="G15" s="44"/>
      <c r="H15" s="45"/>
      <c r="I15" s="80">
        <v>67830</v>
      </c>
      <c r="J15" s="38"/>
      <c r="K15" s="80"/>
      <c r="L15" s="38"/>
      <c r="M15" s="80"/>
      <c r="N15" s="81"/>
      <c r="O15" s="82"/>
      <c r="P15" s="81"/>
      <c r="Q15" s="91"/>
    </row>
    <row r="16" spans="2:17">
      <c r="B16" s="39">
        <v>45902</v>
      </c>
      <c r="C16" s="47" t="s">
        <v>264</v>
      </c>
      <c r="D16" s="41" t="s">
        <v>19</v>
      </c>
      <c r="E16" s="42" t="s">
        <v>265</v>
      </c>
      <c r="F16" s="43" t="s">
        <v>36</v>
      </c>
      <c r="G16" s="44"/>
      <c r="H16" s="45"/>
      <c r="I16" s="80"/>
      <c r="J16" s="38">
        <v>5251.5</v>
      </c>
      <c r="K16" s="83"/>
      <c r="L16" s="38"/>
      <c r="M16" s="80"/>
      <c r="N16" s="81"/>
      <c r="O16" s="82"/>
      <c r="P16" s="81"/>
      <c r="Q16" s="91"/>
    </row>
    <row r="17" spans="2:17">
      <c r="B17" s="39">
        <v>45902</v>
      </c>
      <c r="C17" s="40" t="s">
        <v>266</v>
      </c>
      <c r="D17" s="41" t="s">
        <v>19</v>
      </c>
      <c r="E17" s="42" t="s">
        <v>267</v>
      </c>
      <c r="F17" s="43" t="s">
        <v>36</v>
      </c>
      <c r="G17" s="44"/>
      <c r="H17" s="45"/>
      <c r="I17" s="80"/>
      <c r="J17" s="38">
        <v>2800</v>
      </c>
      <c r="K17" s="83"/>
      <c r="L17" s="38"/>
      <c r="M17" s="80"/>
      <c r="N17" s="81"/>
      <c r="O17" s="82"/>
      <c r="P17" s="81"/>
      <c r="Q17" s="91"/>
    </row>
    <row r="18" spans="2:17">
      <c r="B18" s="39">
        <v>45906</v>
      </c>
      <c r="C18" s="40" t="s">
        <v>268</v>
      </c>
      <c r="D18" s="41" t="s">
        <v>19</v>
      </c>
      <c r="E18" s="42" t="s">
        <v>216</v>
      </c>
      <c r="F18" s="43" t="s">
        <v>36</v>
      </c>
      <c r="G18" s="44"/>
      <c r="H18" s="45"/>
      <c r="I18" s="80"/>
      <c r="J18" s="38"/>
      <c r="K18" s="83"/>
      <c r="L18" s="38"/>
      <c r="M18" s="80"/>
      <c r="N18" s="81"/>
      <c r="O18" s="82"/>
      <c r="P18" s="81"/>
      <c r="Q18" s="91">
        <v>5000</v>
      </c>
    </row>
    <row r="19" spans="2:17">
      <c r="B19" s="39">
        <v>45909</v>
      </c>
      <c r="C19" s="40" t="s">
        <v>269</v>
      </c>
      <c r="D19" s="41" t="s">
        <v>19</v>
      </c>
      <c r="E19" s="42" t="s">
        <v>270</v>
      </c>
      <c r="F19" s="43" t="s">
        <v>36</v>
      </c>
      <c r="G19" s="44"/>
      <c r="H19" s="45"/>
      <c r="I19" s="80"/>
      <c r="J19" s="38"/>
      <c r="K19" s="83"/>
      <c r="L19" s="38"/>
      <c r="M19" s="80"/>
      <c r="N19" s="81"/>
      <c r="O19" s="82"/>
      <c r="P19" s="81"/>
      <c r="Q19" s="91">
        <v>3000</v>
      </c>
    </row>
    <row r="20" spans="2:17">
      <c r="B20" s="39">
        <v>45909</v>
      </c>
      <c r="C20" s="40" t="s">
        <v>271</v>
      </c>
      <c r="D20" s="41" t="s">
        <v>170</v>
      </c>
      <c r="E20" s="42"/>
      <c r="F20" s="43" t="s">
        <v>36</v>
      </c>
      <c r="G20" s="44"/>
      <c r="H20" s="45"/>
      <c r="I20" s="80"/>
      <c r="J20" s="38"/>
      <c r="K20" s="83"/>
      <c r="L20" s="38"/>
      <c r="M20" s="80"/>
      <c r="N20" s="81"/>
      <c r="O20" s="82"/>
      <c r="P20" s="81"/>
      <c r="Q20" s="91">
        <v>2800</v>
      </c>
    </row>
    <row r="21" spans="2:17">
      <c r="B21" s="39">
        <v>45909</v>
      </c>
      <c r="C21" s="40" t="s">
        <v>266</v>
      </c>
      <c r="D21" s="41" t="s">
        <v>19</v>
      </c>
      <c r="E21" s="42" t="s">
        <v>272</v>
      </c>
      <c r="F21" s="43" t="s">
        <v>36</v>
      </c>
      <c r="G21" s="44"/>
      <c r="H21" s="45"/>
      <c r="I21" s="80"/>
      <c r="J21" s="38"/>
      <c r="K21" s="83"/>
      <c r="L21" s="38"/>
      <c r="M21" s="80"/>
      <c r="N21" s="81"/>
      <c r="O21" s="82"/>
      <c r="P21" s="81"/>
      <c r="Q21" s="91">
        <v>2600</v>
      </c>
    </row>
    <row r="22" spans="2:17">
      <c r="B22" s="39">
        <v>45912</v>
      </c>
      <c r="C22" s="40" t="s">
        <v>273</v>
      </c>
      <c r="D22" s="41" t="s">
        <v>49</v>
      </c>
      <c r="E22" s="42" t="s">
        <v>274</v>
      </c>
      <c r="F22" s="43" t="s">
        <v>36</v>
      </c>
      <c r="G22" s="44"/>
      <c r="H22" s="45"/>
      <c r="I22" s="80">
        <v>27125</v>
      </c>
      <c r="J22" s="38"/>
      <c r="K22" s="83"/>
      <c r="L22" s="38"/>
      <c r="M22" s="80"/>
      <c r="N22" s="81"/>
      <c r="O22" s="82"/>
      <c r="P22" s="81"/>
      <c r="Q22" s="91"/>
    </row>
    <row r="23" spans="2:17">
      <c r="B23" s="39">
        <v>45914</v>
      </c>
      <c r="C23" s="40" t="s">
        <v>275</v>
      </c>
      <c r="D23" s="41" t="s">
        <v>19</v>
      </c>
      <c r="E23" s="42" t="s">
        <v>222</v>
      </c>
      <c r="F23" s="43" t="s">
        <v>36</v>
      </c>
      <c r="G23" s="44"/>
      <c r="H23" s="45"/>
      <c r="I23" s="80"/>
      <c r="J23" s="38"/>
      <c r="K23" s="83"/>
      <c r="L23" s="38"/>
      <c r="M23" s="80"/>
      <c r="N23" s="81"/>
      <c r="O23" s="82"/>
      <c r="P23" s="81"/>
      <c r="Q23" s="91">
        <v>1400</v>
      </c>
    </row>
    <row r="24" spans="2:17">
      <c r="B24" s="39">
        <v>45915</v>
      </c>
      <c r="C24" s="47" t="s">
        <v>276</v>
      </c>
      <c r="D24" s="41" t="s">
        <v>19</v>
      </c>
      <c r="E24" s="42" t="s">
        <v>277</v>
      </c>
      <c r="F24" s="43" t="s">
        <v>36</v>
      </c>
      <c r="G24" s="44"/>
      <c r="H24" s="45"/>
      <c r="I24" s="80"/>
      <c r="J24" s="38">
        <v>3500</v>
      </c>
      <c r="K24" s="80"/>
      <c r="L24" s="38"/>
      <c r="M24" s="80"/>
      <c r="N24" s="81"/>
      <c r="O24" s="82"/>
      <c r="P24" s="81"/>
      <c r="Q24" s="91"/>
    </row>
    <row r="25" spans="2:17">
      <c r="B25" s="39">
        <v>45915</v>
      </c>
      <c r="C25" s="47" t="s">
        <v>278</v>
      </c>
      <c r="D25" s="41" t="s">
        <v>19</v>
      </c>
      <c r="E25" s="42" t="s">
        <v>170</v>
      </c>
      <c r="F25" s="43" t="s">
        <v>36</v>
      </c>
      <c r="G25" s="44"/>
      <c r="H25" s="45"/>
      <c r="I25" s="80">
        <v>6000</v>
      </c>
      <c r="J25" s="38"/>
      <c r="K25" s="80"/>
      <c r="L25" s="38"/>
      <c r="M25" s="80"/>
      <c r="N25" s="81"/>
      <c r="O25" s="82"/>
      <c r="P25" s="81"/>
      <c r="Q25" s="91"/>
    </row>
    <row r="26" spans="2:17">
      <c r="B26" s="39">
        <v>45918</v>
      </c>
      <c r="C26" s="47" t="s">
        <v>279</v>
      </c>
      <c r="D26" s="41" t="s">
        <v>19</v>
      </c>
      <c r="E26" s="42" t="s">
        <v>280</v>
      </c>
      <c r="F26" s="43" t="s">
        <v>36</v>
      </c>
      <c r="G26" s="44"/>
      <c r="H26" s="45"/>
      <c r="I26" s="80"/>
      <c r="J26" s="38">
        <v>4500</v>
      </c>
      <c r="K26" s="83"/>
      <c r="L26" s="38"/>
      <c r="M26" s="80"/>
      <c r="N26" s="81"/>
      <c r="O26" s="82"/>
      <c r="P26" s="81"/>
      <c r="Q26" s="91"/>
    </row>
    <row r="27" spans="2:17">
      <c r="B27" s="39">
        <v>45921</v>
      </c>
      <c r="C27" s="40" t="s">
        <v>281</v>
      </c>
      <c r="D27" s="41" t="s">
        <v>19</v>
      </c>
      <c r="E27" s="42" t="s">
        <v>282</v>
      </c>
      <c r="F27" s="43" t="s">
        <v>36</v>
      </c>
      <c r="G27" s="44"/>
      <c r="H27" s="45"/>
      <c r="I27" s="80"/>
      <c r="J27" s="38"/>
      <c r="K27" s="83"/>
      <c r="L27" s="38"/>
      <c r="M27" s="80"/>
      <c r="N27" s="81"/>
      <c r="O27" s="82"/>
      <c r="P27" s="81"/>
      <c r="Q27" s="91">
        <v>4200</v>
      </c>
    </row>
    <row r="28" spans="2:17">
      <c r="B28" s="39">
        <v>45930</v>
      </c>
      <c r="C28" s="40" t="s">
        <v>269</v>
      </c>
      <c r="D28" s="41" t="s">
        <v>19</v>
      </c>
      <c r="E28" s="42" t="s">
        <v>283</v>
      </c>
      <c r="F28" s="43" t="s">
        <v>36</v>
      </c>
      <c r="G28" s="44"/>
      <c r="H28" s="45"/>
      <c r="I28" s="80"/>
      <c r="J28" s="38">
        <v>1200</v>
      </c>
      <c r="K28" s="80"/>
      <c r="L28" s="38"/>
      <c r="M28" s="80"/>
      <c r="N28" s="81"/>
      <c r="O28" s="82"/>
      <c r="P28" s="81"/>
      <c r="Q28" s="91"/>
    </row>
    <row r="29" spans="2:17">
      <c r="B29" s="39">
        <v>45930</v>
      </c>
      <c r="C29" s="40" t="s">
        <v>284</v>
      </c>
      <c r="D29" s="41" t="s">
        <v>49</v>
      </c>
      <c r="E29" s="42" t="s">
        <v>285</v>
      </c>
      <c r="F29" s="43" t="s">
        <v>36</v>
      </c>
      <c r="G29" s="44"/>
      <c r="H29" s="45"/>
      <c r="I29" s="80"/>
      <c r="J29" s="38"/>
      <c r="K29" s="83"/>
      <c r="L29" s="38"/>
      <c r="M29" s="80">
        <v>70210</v>
      </c>
      <c r="N29" s="81"/>
      <c r="O29" s="82"/>
      <c r="P29" s="81"/>
      <c r="Q29" s="91"/>
    </row>
    <row r="30" spans="2:17">
      <c r="B30" s="39">
        <v>45930</v>
      </c>
      <c r="C30" s="40" t="s">
        <v>284</v>
      </c>
      <c r="D30" s="41" t="s">
        <v>49</v>
      </c>
      <c r="E30" s="42" t="s">
        <v>286</v>
      </c>
      <c r="F30" s="43" t="s">
        <v>36</v>
      </c>
      <c r="G30" s="44"/>
      <c r="H30" s="45"/>
      <c r="I30" s="80">
        <v>10240.34</v>
      </c>
      <c r="J30" s="38"/>
      <c r="K30" s="83"/>
      <c r="L30" s="38"/>
      <c r="M30" s="80"/>
      <c r="N30" s="81"/>
      <c r="O30" s="82"/>
      <c r="P30" s="81"/>
      <c r="Q30" s="91"/>
    </row>
    <row r="31" ht="15.15" spans="2:17">
      <c r="B31" s="39"/>
      <c r="C31" s="47"/>
      <c r="D31" s="48"/>
      <c r="E31" s="47"/>
      <c r="F31" s="49"/>
      <c r="G31" s="44"/>
      <c r="H31" s="45"/>
      <c r="I31" s="82"/>
      <c r="J31" s="38"/>
      <c r="K31" s="83"/>
      <c r="L31" s="38"/>
      <c r="M31" s="80"/>
      <c r="N31" s="81"/>
      <c r="O31" s="83"/>
      <c r="P31" s="81"/>
      <c r="Q31" s="80"/>
    </row>
    <row r="32" ht="15.15" spans="2:17">
      <c r="B32" s="50"/>
      <c r="C32" s="51"/>
      <c r="D32" s="52"/>
      <c r="E32" s="53"/>
      <c r="F32" s="52"/>
      <c r="G32" s="54">
        <f t="shared" ref="G32:Q32" si="1">SUM(G8:G31)</f>
        <v>0</v>
      </c>
      <c r="H32" s="55">
        <f t="shared" si="1"/>
        <v>0</v>
      </c>
      <c r="I32" s="84">
        <f t="shared" si="1"/>
        <v>121088.55</v>
      </c>
      <c r="J32" s="85">
        <f t="shared" si="1"/>
        <v>17251.5</v>
      </c>
      <c r="K32" s="86">
        <f t="shared" si="1"/>
        <v>145420</v>
      </c>
      <c r="L32" s="87">
        <f t="shared" si="1"/>
        <v>0</v>
      </c>
      <c r="M32" s="88">
        <f t="shared" si="1"/>
        <v>70210</v>
      </c>
      <c r="N32" s="89">
        <f t="shared" si="1"/>
        <v>0</v>
      </c>
      <c r="O32" s="89">
        <f t="shared" si="1"/>
        <v>0</v>
      </c>
      <c r="P32" s="55">
        <f t="shared" si="1"/>
        <v>0</v>
      </c>
      <c r="Q32" s="92">
        <f t="shared" si="1"/>
        <v>19000</v>
      </c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="2" customFormat="1" spans="1:22">
      <c r="A38" s="6"/>
      <c r="B38" s="3"/>
      <c r="C38"/>
      <c r="D38" s="1"/>
      <c r="E38"/>
      <c r="F38" s="4"/>
      <c r="G38" s="5"/>
      <c r="H38"/>
      <c r="I38" s="6"/>
      <c r="J38" s="1"/>
      <c r="K38" s="1"/>
      <c r="L38" s="1"/>
      <c r="M38" s="1"/>
      <c r="N38" s="1"/>
      <c r="O38" s="1"/>
      <c r="P38" s="7"/>
      <c r="Q38" s="1"/>
      <c r="R38"/>
      <c r="S38"/>
      <c r="T38"/>
      <c r="U38"/>
      <c r="V38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5"/>
  <sheetViews>
    <sheetView zoomScale="90" zoomScaleNormal="90" workbookViewId="0">
      <pane xSplit="5" ySplit="7" topLeftCell="F26" activePane="bottomRight" state="frozen"/>
      <selection/>
      <selection pane="topRight"/>
      <selection pane="bottomLeft"/>
      <selection pane="bottomRight" activeCell="K35" sqref="K35:K36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287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326723.64</v>
      </c>
      <c r="E3" s="17"/>
      <c r="F3" s="18">
        <f>D3+D4</f>
        <v>471714.24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258</v>
      </c>
      <c r="Q3" s="64"/>
    </row>
    <row r="4" ht="15.15" spans="2:17">
      <c r="B4" s="21" t="s">
        <v>8</v>
      </c>
      <c r="C4" s="22"/>
      <c r="D4" s="23">
        <f>H5+J5+L5+N5+P5</f>
        <v>144990.6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G39</f>
        <v>0</v>
      </c>
      <c r="H5" s="32">
        <f t="shared" si="0"/>
        <v>0</v>
      </c>
      <c r="I5" s="73">
        <f t="shared" si="0"/>
        <v>0</v>
      </c>
      <c r="J5" s="32">
        <f t="shared" si="0"/>
        <v>144990.6</v>
      </c>
      <c r="K5" s="73">
        <f t="shared" si="0"/>
        <v>236436.14</v>
      </c>
      <c r="L5" s="32">
        <f t="shared" si="0"/>
        <v>0</v>
      </c>
      <c r="M5" s="73">
        <f t="shared" si="0"/>
        <v>87987.5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2300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45931</v>
      </c>
      <c r="C8" s="46" t="s">
        <v>288</v>
      </c>
      <c r="D8" s="41" t="s">
        <v>49</v>
      </c>
      <c r="E8" s="42" t="s">
        <v>289</v>
      </c>
      <c r="F8" s="94" t="s">
        <v>36</v>
      </c>
      <c r="G8" s="44"/>
      <c r="H8" s="45"/>
      <c r="I8" s="80"/>
      <c r="J8" s="38"/>
      <c r="K8" s="80"/>
      <c r="L8" s="38"/>
      <c r="M8" s="80">
        <v>3337.5</v>
      </c>
      <c r="N8" s="81"/>
      <c r="O8" s="82"/>
      <c r="P8" s="81"/>
      <c r="Q8" s="91"/>
    </row>
    <row r="9" spans="2:17">
      <c r="B9" s="39">
        <v>45931</v>
      </c>
      <c r="C9" s="46" t="s">
        <v>288</v>
      </c>
      <c r="D9" s="41" t="s">
        <v>49</v>
      </c>
      <c r="E9" s="42" t="s">
        <v>290</v>
      </c>
      <c r="F9" s="94" t="s">
        <v>36</v>
      </c>
      <c r="G9" s="44"/>
      <c r="H9" s="45"/>
      <c r="I9" s="80"/>
      <c r="J9" s="38"/>
      <c r="K9" s="80"/>
      <c r="L9" s="38"/>
      <c r="M9" s="80">
        <v>33750</v>
      </c>
      <c r="N9" s="81"/>
      <c r="O9" s="82"/>
      <c r="P9" s="81"/>
      <c r="Q9" s="91"/>
    </row>
    <row r="10" spans="2:17">
      <c r="B10" s="39">
        <v>45934</v>
      </c>
      <c r="C10" s="40" t="s">
        <v>291</v>
      </c>
      <c r="D10" s="41" t="s">
        <v>19</v>
      </c>
      <c r="E10" s="42" t="s">
        <v>292</v>
      </c>
      <c r="F10" s="94" t="s">
        <v>36</v>
      </c>
      <c r="G10" s="44"/>
      <c r="H10" s="45"/>
      <c r="I10" s="80"/>
      <c r="J10" s="38">
        <v>399.89</v>
      </c>
      <c r="K10" s="80"/>
      <c r="L10" s="38"/>
      <c r="M10" s="80"/>
      <c r="N10" s="81"/>
      <c r="O10" s="82"/>
      <c r="P10" s="81"/>
      <c r="Q10" s="91"/>
    </row>
    <row r="11" spans="2:17">
      <c r="B11" s="39">
        <v>45934</v>
      </c>
      <c r="C11" s="40" t="s">
        <v>291</v>
      </c>
      <c r="D11" s="41" t="s">
        <v>19</v>
      </c>
      <c r="E11" s="42" t="s">
        <v>293</v>
      </c>
      <c r="F11" s="94" t="s">
        <v>36</v>
      </c>
      <c r="G11" s="44"/>
      <c r="H11" s="45"/>
      <c r="I11" s="80"/>
      <c r="J11" s="38">
        <v>8985.9</v>
      </c>
      <c r="K11" s="80"/>
      <c r="L11" s="38"/>
      <c r="M11" s="80"/>
      <c r="N11" s="81"/>
      <c r="O11" s="82"/>
      <c r="P11" s="81"/>
      <c r="Q11" s="91"/>
    </row>
    <row r="12" spans="2:17">
      <c r="B12" s="39">
        <v>45935</v>
      </c>
      <c r="C12" s="40" t="s">
        <v>294</v>
      </c>
      <c r="D12" s="41" t="s">
        <v>19</v>
      </c>
      <c r="E12" s="42" t="s">
        <v>295</v>
      </c>
      <c r="F12" s="94" t="s">
        <v>36</v>
      </c>
      <c r="G12" s="44"/>
      <c r="H12" s="45"/>
      <c r="I12" s="80"/>
      <c r="J12" s="38">
        <v>55082.4</v>
      </c>
      <c r="K12" s="80"/>
      <c r="L12" s="38"/>
      <c r="M12" s="80"/>
      <c r="N12" s="81"/>
      <c r="O12" s="82"/>
      <c r="P12" s="81"/>
      <c r="Q12" s="91"/>
    </row>
    <row r="13" spans="2:17">
      <c r="B13" s="39">
        <v>45937</v>
      </c>
      <c r="C13" s="40" t="s">
        <v>296</v>
      </c>
      <c r="D13" s="41" t="s">
        <v>49</v>
      </c>
      <c r="E13" s="42"/>
      <c r="F13" s="94" t="s">
        <v>36</v>
      </c>
      <c r="G13" s="44"/>
      <c r="H13" s="45"/>
      <c r="I13" s="80"/>
      <c r="J13" s="38"/>
      <c r="K13" s="80">
        <v>2950</v>
      </c>
      <c r="L13" s="38"/>
      <c r="M13" s="80"/>
      <c r="N13" s="81"/>
      <c r="O13" s="82"/>
      <c r="P13" s="81"/>
      <c r="Q13" s="91"/>
    </row>
    <row r="14" spans="2:17">
      <c r="B14" s="39">
        <v>45939</v>
      </c>
      <c r="C14" s="47" t="s">
        <v>297</v>
      </c>
      <c r="D14" s="41" t="s">
        <v>19</v>
      </c>
      <c r="E14" s="42" t="s">
        <v>298</v>
      </c>
      <c r="F14" s="94" t="s">
        <v>36</v>
      </c>
      <c r="G14" s="44"/>
      <c r="H14" s="45"/>
      <c r="I14" s="80"/>
      <c r="J14" s="38"/>
      <c r="K14" s="80"/>
      <c r="L14" s="38"/>
      <c r="M14" s="80"/>
      <c r="N14" s="81"/>
      <c r="O14" s="82"/>
      <c r="P14" s="81"/>
      <c r="Q14" s="91">
        <v>2300</v>
      </c>
    </row>
    <row r="15" spans="2:17">
      <c r="B15" s="39">
        <v>45939</v>
      </c>
      <c r="C15" s="47" t="s">
        <v>299</v>
      </c>
      <c r="D15" s="41" t="s">
        <v>19</v>
      </c>
      <c r="E15" s="42" t="s">
        <v>300</v>
      </c>
      <c r="F15" s="94" t="s">
        <v>36</v>
      </c>
      <c r="G15" s="44"/>
      <c r="H15" s="45"/>
      <c r="I15" s="80"/>
      <c r="J15" s="38">
        <v>2500</v>
      </c>
      <c r="K15" s="80"/>
      <c r="L15" s="38"/>
      <c r="M15" s="80"/>
      <c r="N15" s="81"/>
      <c r="O15" s="82"/>
      <c r="P15" s="81"/>
      <c r="Q15" s="91"/>
    </row>
    <row r="16" spans="2:17">
      <c r="B16" s="39">
        <v>45940</v>
      </c>
      <c r="C16" s="47" t="s">
        <v>288</v>
      </c>
      <c r="D16" s="41" t="s">
        <v>19</v>
      </c>
      <c r="E16" s="42" t="s">
        <v>301</v>
      </c>
      <c r="F16" s="94" t="s">
        <v>36</v>
      </c>
      <c r="G16" s="44"/>
      <c r="H16" s="45"/>
      <c r="I16" s="80"/>
      <c r="J16" s="38"/>
      <c r="K16" s="80">
        <v>3337.5</v>
      </c>
      <c r="L16" s="38"/>
      <c r="M16" s="80"/>
      <c r="N16" s="81"/>
      <c r="O16" s="82"/>
      <c r="P16" s="81"/>
      <c r="Q16" s="91"/>
    </row>
    <row r="17" spans="2:17">
      <c r="B17" s="39">
        <v>45940</v>
      </c>
      <c r="C17" s="47" t="s">
        <v>288</v>
      </c>
      <c r="D17" s="41" t="s">
        <v>19</v>
      </c>
      <c r="E17" s="42" t="s">
        <v>302</v>
      </c>
      <c r="F17" s="94" t="s">
        <v>36</v>
      </c>
      <c r="G17" s="44"/>
      <c r="H17" s="45"/>
      <c r="I17" s="80"/>
      <c r="J17" s="38"/>
      <c r="K17" s="80">
        <v>33375</v>
      </c>
      <c r="L17" s="38"/>
      <c r="M17" s="80"/>
      <c r="N17" s="81"/>
      <c r="O17" s="82"/>
      <c r="P17" s="81"/>
      <c r="Q17" s="91"/>
    </row>
    <row r="18" spans="2:17">
      <c r="B18" s="39">
        <v>45945</v>
      </c>
      <c r="C18" s="40" t="s">
        <v>114</v>
      </c>
      <c r="D18" s="41" t="s">
        <v>19</v>
      </c>
      <c r="E18" s="42" t="s">
        <v>303</v>
      </c>
      <c r="F18" s="94" t="s">
        <v>36</v>
      </c>
      <c r="G18" s="44"/>
      <c r="H18" s="45"/>
      <c r="I18" s="80"/>
      <c r="J18" s="38"/>
      <c r="K18" s="80">
        <v>6750</v>
      </c>
      <c r="L18" s="38"/>
      <c r="M18" s="80"/>
      <c r="N18" s="81"/>
      <c r="O18" s="82"/>
      <c r="P18" s="81"/>
      <c r="Q18" s="91"/>
    </row>
    <row r="19" spans="2:17">
      <c r="B19" s="39">
        <v>45945</v>
      </c>
      <c r="C19" s="40" t="s">
        <v>114</v>
      </c>
      <c r="D19" s="41" t="s">
        <v>19</v>
      </c>
      <c r="E19" s="42" t="s">
        <v>304</v>
      </c>
      <c r="F19" s="94" t="s">
        <v>36</v>
      </c>
      <c r="G19" s="44"/>
      <c r="H19" s="45"/>
      <c r="I19" s="80"/>
      <c r="J19" s="38"/>
      <c r="K19" s="80">
        <v>9620</v>
      </c>
      <c r="L19" s="38"/>
      <c r="M19" s="80"/>
      <c r="N19" s="81"/>
      <c r="O19" s="82"/>
      <c r="P19" s="81"/>
      <c r="Q19" s="91"/>
    </row>
    <row r="20" spans="2:17">
      <c r="B20" s="39">
        <v>45945</v>
      </c>
      <c r="C20" s="40" t="s">
        <v>114</v>
      </c>
      <c r="D20" s="41" t="s">
        <v>19</v>
      </c>
      <c r="E20" s="42" t="s">
        <v>305</v>
      </c>
      <c r="F20" s="94" t="s">
        <v>36</v>
      </c>
      <c r="G20" s="44"/>
      <c r="H20" s="45"/>
      <c r="I20" s="80"/>
      <c r="J20" s="38">
        <v>60750</v>
      </c>
      <c r="K20" s="80"/>
      <c r="L20" s="38"/>
      <c r="M20" s="80"/>
      <c r="N20" s="81"/>
      <c r="O20" s="82"/>
      <c r="P20" s="81"/>
      <c r="Q20" s="91"/>
    </row>
    <row r="21" spans="2:17">
      <c r="B21" s="39">
        <v>45945</v>
      </c>
      <c r="C21" s="40" t="s">
        <v>114</v>
      </c>
      <c r="D21" s="41" t="s">
        <v>19</v>
      </c>
      <c r="E21" s="42" t="s">
        <v>306</v>
      </c>
      <c r="F21" s="94" t="s">
        <v>36</v>
      </c>
      <c r="G21" s="44"/>
      <c r="H21" s="45"/>
      <c r="I21" s="80"/>
      <c r="J21" s="38"/>
      <c r="K21" s="80">
        <v>86580</v>
      </c>
      <c r="L21" s="38"/>
      <c r="M21" s="80"/>
      <c r="N21" s="81"/>
      <c r="O21" s="82"/>
      <c r="P21" s="81"/>
      <c r="Q21" s="91"/>
    </row>
    <row r="22" spans="2:17">
      <c r="B22" s="39">
        <v>45946</v>
      </c>
      <c r="C22" s="40" t="s">
        <v>212</v>
      </c>
      <c r="D22" s="41" t="s">
        <v>49</v>
      </c>
      <c r="E22" s="42"/>
      <c r="F22" s="94" t="s">
        <v>36</v>
      </c>
      <c r="G22" s="44"/>
      <c r="H22" s="45"/>
      <c r="I22" s="80"/>
      <c r="J22" s="38"/>
      <c r="K22" s="80">
        <v>2300</v>
      </c>
      <c r="L22" s="38"/>
      <c r="M22" s="80"/>
      <c r="N22" s="81"/>
      <c r="O22" s="82"/>
      <c r="P22" s="81"/>
      <c r="Q22" s="91"/>
    </row>
    <row r="23" spans="2:17">
      <c r="B23" s="39">
        <v>45947</v>
      </c>
      <c r="C23" s="46" t="s">
        <v>307</v>
      </c>
      <c r="D23" s="41" t="s">
        <v>49</v>
      </c>
      <c r="E23" s="42"/>
      <c r="F23" s="94" t="s">
        <v>36</v>
      </c>
      <c r="G23" s="44"/>
      <c r="H23" s="45"/>
      <c r="I23" s="80"/>
      <c r="J23" s="38"/>
      <c r="K23" s="80"/>
      <c r="L23" s="38"/>
      <c r="M23" s="80">
        <v>34100</v>
      </c>
      <c r="N23" s="81"/>
      <c r="O23" s="82"/>
      <c r="P23" s="81"/>
      <c r="Q23" s="91"/>
    </row>
    <row r="24" spans="2:17">
      <c r="B24" s="39">
        <v>45948</v>
      </c>
      <c r="C24" s="46" t="s">
        <v>308</v>
      </c>
      <c r="D24" s="41" t="s">
        <v>19</v>
      </c>
      <c r="E24" s="42" t="s">
        <v>292</v>
      </c>
      <c r="F24" s="94" t="s">
        <v>36</v>
      </c>
      <c r="G24" s="44"/>
      <c r="H24" s="45"/>
      <c r="I24" s="80"/>
      <c r="J24" s="38">
        <v>951.41</v>
      </c>
      <c r="K24" s="80"/>
      <c r="L24" s="38"/>
      <c r="M24" s="80"/>
      <c r="N24" s="81"/>
      <c r="O24" s="82"/>
      <c r="P24" s="81"/>
      <c r="Q24" s="91"/>
    </row>
    <row r="25" spans="2:17">
      <c r="B25" s="39">
        <v>45948</v>
      </c>
      <c r="C25" s="46" t="s">
        <v>308</v>
      </c>
      <c r="D25" s="41" t="s">
        <v>19</v>
      </c>
      <c r="E25" s="42" t="s">
        <v>293</v>
      </c>
      <c r="F25" s="94" t="s">
        <v>36</v>
      </c>
      <c r="G25" s="44"/>
      <c r="H25" s="45"/>
      <c r="I25" s="80"/>
      <c r="J25" s="38">
        <v>9621</v>
      </c>
      <c r="K25" s="80"/>
      <c r="L25" s="38"/>
      <c r="M25" s="80"/>
      <c r="N25" s="81"/>
      <c r="O25" s="82"/>
      <c r="P25" s="81"/>
      <c r="Q25" s="91"/>
    </row>
    <row r="26" spans="2:17">
      <c r="B26" s="39">
        <v>45953</v>
      </c>
      <c r="C26" s="46" t="s">
        <v>307</v>
      </c>
      <c r="D26" s="41" t="s">
        <v>49</v>
      </c>
      <c r="E26" s="42"/>
      <c r="F26" s="94" t="s">
        <v>36</v>
      </c>
      <c r="G26" s="44"/>
      <c r="H26" s="45"/>
      <c r="I26" s="80"/>
      <c r="J26" s="38"/>
      <c r="K26" s="80"/>
      <c r="L26" s="38"/>
      <c r="M26" s="80">
        <v>16800</v>
      </c>
      <c r="N26" s="81"/>
      <c r="O26" s="82"/>
      <c r="P26" s="81"/>
      <c r="Q26" s="91"/>
    </row>
    <row r="27" spans="2:17">
      <c r="B27" s="39">
        <v>45954</v>
      </c>
      <c r="C27" s="40" t="s">
        <v>309</v>
      </c>
      <c r="D27" s="41" t="s">
        <v>19</v>
      </c>
      <c r="E27" s="42" t="s">
        <v>253</v>
      </c>
      <c r="F27" s="94" t="s">
        <v>36</v>
      </c>
      <c r="G27" s="44"/>
      <c r="H27" s="45"/>
      <c r="I27" s="80"/>
      <c r="J27" s="38">
        <v>2500</v>
      </c>
      <c r="K27" s="80"/>
      <c r="L27" s="38"/>
      <c r="M27" s="80"/>
      <c r="N27" s="81"/>
      <c r="O27" s="82"/>
      <c r="P27" s="81"/>
      <c r="Q27" s="91"/>
    </row>
    <row r="28" spans="2:17">
      <c r="B28" s="39">
        <v>45954</v>
      </c>
      <c r="C28" s="40" t="s">
        <v>310</v>
      </c>
      <c r="D28" s="41" t="s">
        <v>19</v>
      </c>
      <c r="E28" s="42" t="s">
        <v>311</v>
      </c>
      <c r="F28" s="94" t="s">
        <v>36</v>
      </c>
      <c r="G28" s="44"/>
      <c r="H28" s="45"/>
      <c r="I28" s="80"/>
      <c r="J28" s="38">
        <v>1700</v>
      </c>
      <c r="K28" s="80"/>
      <c r="L28" s="38"/>
      <c r="M28" s="80"/>
      <c r="N28" s="81"/>
      <c r="O28" s="82"/>
      <c r="P28" s="81"/>
      <c r="Q28" s="91"/>
    </row>
    <row r="29" spans="2:17">
      <c r="B29" s="39">
        <v>45958</v>
      </c>
      <c r="C29" s="40" t="s">
        <v>312</v>
      </c>
      <c r="D29" s="41" t="s">
        <v>19</v>
      </c>
      <c r="E29" s="42" t="s">
        <v>300</v>
      </c>
      <c r="F29" s="94" t="s">
        <v>36</v>
      </c>
      <c r="G29" s="44"/>
      <c r="H29" s="45"/>
      <c r="I29" s="80"/>
      <c r="J29" s="38">
        <v>250</v>
      </c>
      <c r="K29" s="83"/>
      <c r="L29" s="38"/>
      <c r="M29" s="80"/>
      <c r="N29" s="81"/>
      <c r="O29" s="82"/>
      <c r="P29" s="81"/>
      <c r="Q29" s="91"/>
    </row>
    <row r="30" spans="2:17">
      <c r="B30" s="39">
        <v>45958</v>
      </c>
      <c r="C30" s="40" t="s">
        <v>312</v>
      </c>
      <c r="D30" s="41" t="s">
        <v>19</v>
      </c>
      <c r="E30" s="42" t="s">
        <v>313</v>
      </c>
      <c r="F30" s="94" t="s">
        <v>36</v>
      </c>
      <c r="G30" s="44"/>
      <c r="H30" s="45"/>
      <c r="I30" s="80"/>
      <c r="J30" s="38">
        <v>2250</v>
      </c>
      <c r="K30" s="83"/>
      <c r="L30" s="38"/>
      <c r="M30" s="80"/>
      <c r="N30" s="81"/>
      <c r="O30" s="82"/>
      <c r="P30" s="81"/>
      <c r="Q30" s="91"/>
    </row>
    <row r="31" spans="2:17">
      <c r="B31" s="39">
        <v>45958</v>
      </c>
      <c r="C31" s="40" t="s">
        <v>314</v>
      </c>
      <c r="D31" s="41" t="s">
        <v>19</v>
      </c>
      <c r="E31" s="42" t="s">
        <v>292</v>
      </c>
      <c r="F31" s="94" t="s">
        <v>36</v>
      </c>
      <c r="G31" s="44"/>
      <c r="H31" s="45"/>
      <c r="I31" s="80"/>
      <c r="J31" s="38"/>
      <c r="K31" s="80">
        <v>265</v>
      </c>
      <c r="L31" s="38"/>
      <c r="M31" s="80"/>
      <c r="N31" s="81"/>
      <c r="O31" s="82"/>
      <c r="P31" s="81"/>
      <c r="Q31" s="91"/>
    </row>
    <row r="32" spans="2:17">
      <c r="B32" s="39">
        <v>45958</v>
      </c>
      <c r="C32" s="40" t="s">
        <v>314</v>
      </c>
      <c r="D32" s="41" t="s">
        <v>19</v>
      </c>
      <c r="E32" s="42" t="s">
        <v>315</v>
      </c>
      <c r="F32" s="94" t="s">
        <v>36</v>
      </c>
      <c r="G32" s="44"/>
      <c r="H32" s="45"/>
      <c r="I32" s="80"/>
      <c r="J32" s="38"/>
      <c r="K32" s="80">
        <v>2385</v>
      </c>
      <c r="L32" s="38"/>
      <c r="M32" s="80"/>
      <c r="N32" s="81"/>
      <c r="O32" s="82"/>
      <c r="P32" s="81"/>
      <c r="Q32" s="91"/>
    </row>
    <row r="33" spans="2:17">
      <c r="B33" s="39">
        <v>45959</v>
      </c>
      <c r="C33" s="47" t="s">
        <v>215</v>
      </c>
      <c r="D33" s="41" t="s">
        <v>19</v>
      </c>
      <c r="E33" s="42" t="s">
        <v>316</v>
      </c>
      <c r="F33" s="94" t="s">
        <v>36</v>
      </c>
      <c r="G33" s="44"/>
      <c r="H33" s="45"/>
      <c r="I33" s="80"/>
      <c r="J33" s="38"/>
      <c r="K33" s="80">
        <v>18275.22</v>
      </c>
      <c r="L33" s="38"/>
      <c r="M33" s="80"/>
      <c r="N33" s="81"/>
      <c r="O33" s="82"/>
      <c r="P33" s="81"/>
      <c r="Q33" s="91"/>
    </row>
    <row r="34" spans="2:17">
      <c r="B34" s="39">
        <v>45959</v>
      </c>
      <c r="C34" s="47" t="s">
        <v>215</v>
      </c>
      <c r="D34" s="41" t="s">
        <v>19</v>
      </c>
      <c r="E34" s="42"/>
      <c r="F34" s="94" t="s">
        <v>36</v>
      </c>
      <c r="G34" s="44"/>
      <c r="H34" s="45"/>
      <c r="I34" s="80"/>
      <c r="J34" s="38"/>
      <c r="K34" s="80">
        <v>2030.58</v>
      </c>
      <c r="L34" s="38"/>
      <c r="M34" s="80"/>
      <c r="N34" s="81"/>
      <c r="O34" s="82"/>
      <c r="P34" s="81"/>
      <c r="Q34" s="91"/>
    </row>
    <row r="35" spans="2:17">
      <c r="B35" s="39">
        <v>45961</v>
      </c>
      <c r="C35" s="47" t="s">
        <v>317</v>
      </c>
      <c r="D35" s="41" t="s">
        <v>49</v>
      </c>
      <c r="E35" s="42" t="s">
        <v>318</v>
      </c>
      <c r="F35" s="94" t="s">
        <v>36</v>
      </c>
      <c r="G35" s="44"/>
      <c r="H35" s="45"/>
      <c r="I35" s="80"/>
      <c r="J35" s="38"/>
      <c r="K35" s="80">
        <v>59840</v>
      </c>
      <c r="L35" s="38"/>
      <c r="M35" s="80"/>
      <c r="N35" s="81"/>
      <c r="O35" s="82"/>
      <c r="P35" s="81"/>
      <c r="Q35" s="91"/>
    </row>
    <row r="36" spans="2:17">
      <c r="B36" s="39">
        <v>45961</v>
      </c>
      <c r="C36" s="47" t="s">
        <v>317</v>
      </c>
      <c r="D36" s="41" t="s">
        <v>49</v>
      </c>
      <c r="E36" s="42"/>
      <c r="F36" s="94" t="s">
        <v>36</v>
      </c>
      <c r="G36" s="44"/>
      <c r="H36" s="45"/>
      <c r="I36" s="80"/>
      <c r="J36" s="38"/>
      <c r="K36" s="80">
        <v>8727.84</v>
      </c>
      <c r="L36" s="38"/>
      <c r="M36" s="80"/>
      <c r="N36" s="81"/>
      <c r="O36" s="82"/>
      <c r="P36" s="81"/>
      <c r="Q36" s="91"/>
    </row>
    <row r="37" spans="2:17">
      <c r="B37" s="39"/>
      <c r="C37" s="47"/>
      <c r="D37" s="41"/>
      <c r="E37" s="42"/>
      <c r="F37" s="49"/>
      <c r="G37" s="44"/>
      <c r="H37" s="45"/>
      <c r="I37" s="80"/>
      <c r="J37" s="38"/>
      <c r="K37" s="83"/>
      <c r="L37" s="38"/>
      <c r="M37" s="80"/>
      <c r="N37" s="81"/>
      <c r="O37" s="82"/>
      <c r="P37" s="81"/>
      <c r="Q37" s="91"/>
    </row>
    <row r="38" ht="15.15" spans="2:17">
      <c r="B38" s="39"/>
      <c r="C38" s="47"/>
      <c r="D38" s="48"/>
      <c r="E38" s="47"/>
      <c r="F38" s="49"/>
      <c r="G38" s="44"/>
      <c r="H38" s="45"/>
      <c r="I38" s="82"/>
      <c r="J38" s="38"/>
      <c r="K38" s="83"/>
      <c r="L38" s="38"/>
      <c r="M38" s="80"/>
      <c r="N38" s="81"/>
      <c r="O38" s="83"/>
      <c r="P38" s="81"/>
      <c r="Q38" s="80"/>
    </row>
    <row r="39" ht="15.15" spans="2:17">
      <c r="B39" s="50"/>
      <c r="C39" s="51"/>
      <c r="D39" s="52"/>
      <c r="E39" s="53"/>
      <c r="F39" s="52"/>
      <c r="G39" s="54">
        <f t="shared" ref="G39:Q39" si="1">SUM(G8:G38)</f>
        <v>0</v>
      </c>
      <c r="H39" s="55">
        <f t="shared" si="1"/>
        <v>0</v>
      </c>
      <c r="I39" s="84">
        <f t="shared" si="1"/>
        <v>0</v>
      </c>
      <c r="J39" s="85">
        <f t="shared" si="1"/>
        <v>144990.6</v>
      </c>
      <c r="K39" s="86">
        <f t="shared" si="1"/>
        <v>236436.14</v>
      </c>
      <c r="L39" s="87">
        <f t="shared" si="1"/>
        <v>0</v>
      </c>
      <c r="M39" s="88">
        <f t="shared" si="1"/>
        <v>87987.5</v>
      </c>
      <c r="N39" s="89">
        <f t="shared" si="1"/>
        <v>0</v>
      </c>
      <c r="O39" s="89">
        <f t="shared" si="1"/>
        <v>0</v>
      </c>
      <c r="P39" s="55">
        <f t="shared" si="1"/>
        <v>0</v>
      </c>
      <c r="Q39" s="92">
        <f t="shared" si="1"/>
        <v>2300</v>
      </c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="2" customFormat="1" spans="1:22">
      <c r="A45" s="6"/>
      <c r="B45" s="3"/>
      <c r="C45"/>
      <c r="D45" s="1"/>
      <c r="E45"/>
      <c r="F45" s="4"/>
      <c r="G45" s="5"/>
      <c r="H45"/>
      <c r="I45" s="6"/>
      <c r="J45" s="1"/>
      <c r="K45" s="1"/>
      <c r="L45" s="1"/>
      <c r="M45" s="1"/>
      <c r="N45" s="1"/>
      <c r="O45" s="1"/>
      <c r="P45" s="7"/>
      <c r="Q45" s="1"/>
      <c r="R45"/>
      <c r="S45"/>
      <c r="T45"/>
      <c r="U45"/>
      <c r="V45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49"/>
  <sheetViews>
    <sheetView zoomScale="90" zoomScaleNormal="90" workbookViewId="0">
      <pane xSplit="5" ySplit="7" topLeftCell="F20" activePane="bottomRight" state="frozen"/>
      <selection/>
      <selection pane="topRight"/>
      <selection pane="bottomLeft"/>
      <selection pane="bottomRight" activeCell="K27" sqref="K27:K32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34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412976.22</v>
      </c>
      <c r="E3" s="17"/>
      <c r="F3" s="18">
        <f>D3+D4</f>
        <v>510029.82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258</v>
      </c>
      <c r="Q3" s="64"/>
    </row>
    <row r="4" ht="15.15" spans="2:17">
      <c r="B4" s="21" t="s">
        <v>8</v>
      </c>
      <c r="C4" s="22"/>
      <c r="D4" s="23">
        <f>H5+J5+L5+N5+P5</f>
        <v>97053.6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G43</f>
        <v>0</v>
      </c>
      <c r="H5" s="32">
        <f t="shared" si="0"/>
        <v>0</v>
      </c>
      <c r="I5" s="73">
        <f t="shared" si="0"/>
        <v>2000.8</v>
      </c>
      <c r="J5" s="32">
        <f t="shared" si="0"/>
        <v>97053.6</v>
      </c>
      <c r="K5" s="73">
        <f t="shared" si="0"/>
        <v>314706.8</v>
      </c>
      <c r="L5" s="32">
        <f t="shared" si="0"/>
        <v>0</v>
      </c>
      <c r="M5" s="73">
        <f t="shared" si="0"/>
        <v>96268.62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45962</v>
      </c>
      <c r="C8" s="46" t="s">
        <v>288</v>
      </c>
      <c r="D8" s="41" t="s">
        <v>49</v>
      </c>
      <c r="E8" s="42" t="s">
        <v>319</v>
      </c>
      <c r="F8" s="43" t="s">
        <v>36</v>
      </c>
      <c r="G8" s="44"/>
      <c r="H8" s="45"/>
      <c r="I8" s="80"/>
      <c r="J8" s="38"/>
      <c r="K8" s="80"/>
      <c r="L8" s="38"/>
      <c r="M8" s="80">
        <v>5835.07</v>
      </c>
      <c r="N8" s="81"/>
      <c r="O8" s="82"/>
      <c r="P8" s="81"/>
      <c r="Q8" s="91"/>
    </row>
    <row r="9" spans="2:17">
      <c r="B9" s="39">
        <v>45962</v>
      </c>
      <c r="C9" s="46" t="s">
        <v>288</v>
      </c>
      <c r="D9" s="41" t="s">
        <v>49</v>
      </c>
      <c r="E9" s="42" t="s">
        <v>320</v>
      </c>
      <c r="F9" s="43" t="s">
        <v>36</v>
      </c>
      <c r="G9" s="44"/>
      <c r="H9" s="45"/>
      <c r="I9" s="80"/>
      <c r="J9" s="38"/>
      <c r="K9" s="80"/>
      <c r="L9" s="38"/>
      <c r="M9" s="80">
        <v>59006.25</v>
      </c>
      <c r="N9" s="81"/>
      <c r="O9" s="82"/>
      <c r="P9" s="81"/>
      <c r="Q9" s="91"/>
    </row>
    <row r="10" spans="2:17">
      <c r="B10" s="39">
        <v>45962</v>
      </c>
      <c r="C10" s="46" t="s">
        <v>288</v>
      </c>
      <c r="D10" s="41" t="s">
        <v>19</v>
      </c>
      <c r="E10" s="42" t="s">
        <v>247</v>
      </c>
      <c r="F10" s="43" t="s">
        <v>36</v>
      </c>
      <c r="G10" s="44"/>
      <c r="H10" s="45"/>
      <c r="I10" s="80"/>
      <c r="J10" s="38"/>
      <c r="K10" s="80"/>
      <c r="L10" s="38"/>
      <c r="M10" s="80">
        <v>1397.3</v>
      </c>
      <c r="N10" s="81"/>
      <c r="O10" s="82"/>
      <c r="P10" s="81"/>
      <c r="Q10" s="91"/>
    </row>
    <row r="11" spans="2:17">
      <c r="B11" s="39">
        <v>45962</v>
      </c>
      <c r="C11" s="46" t="s">
        <v>288</v>
      </c>
      <c r="D11" s="41" t="s">
        <v>19</v>
      </c>
      <c r="E11" s="42" t="s">
        <v>321</v>
      </c>
      <c r="F11" s="43" t="s">
        <v>36</v>
      </c>
      <c r="G11" s="44"/>
      <c r="H11" s="45"/>
      <c r="I11" s="80"/>
      <c r="J11" s="38"/>
      <c r="K11" s="80"/>
      <c r="L11" s="38"/>
      <c r="M11" s="80">
        <v>14130</v>
      </c>
      <c r="N11" s="81"/>
      <c r="O11" s="82"/>
      <c r="P11" s="81"/>
      <c r="Q11" s="91"/>
    </row>
    <row r="12" spans="2:17">
      <c r="B12" s="39">
        <v>45966</v>
      </c>
      <c r="C12" s="40" t="s">
        <v>322</v>
      </c>
      <c r="D12" s="41" t="s">
        <v>19</v>
      </c>
      <c r="E12" s="42" t="s">
        <v>323</v>
      </c>
      <c r="F12" s="43" t="s">
        <v>36</v>
      </c>
      <c r="G12" s="44"/>
      <c r="H12" s="45"/>
      <c r="I12" s="80"/>
      <c r="J12" s="38">
        <v>222.5</v>
      </c>
      <c r="K12" s="80"/>
      <c r="L12" s="38"/>
      <c r="M12" s="80"/>
      <c r="N12" s="81"/>
      <c r="O12" s="82"/>
      <c r="P12" s="81"/>
      <c r="Q12" s="91"/>
    </row>
    <row r="13" spans="2:17">
      <c r="B13" s="39">
        <v>45966</v>
      </c>
      <c r="C13" s="40" t="s">
        <v>322</v>
      </c>
      <c r="D13" s="41" t="s">
        <v>19</v>
      </c>
      <c r="E13" s="42" t="s">
        <v>318</v>
      </c>
      <c r="F13" s="43" t="s">
        <v>36</v>
      </c>
      <c r="G13" s="44"/>
      <c r="H13" s="45"/>
      <c r="I13" s="80"/>
      <c r="J13" s="38">
        <v>2002.5</v>
      </c>
      <c r="K13" s="80"/>
      <c r="L13" s="38"/>
      <c r="M13" s="80"/>
      <c r="N13" s="81"/>
      <c r="O13" s="82"/>
      <c r="P13" s="81"/>
      <c r="Q13" s="91"/>
    </row>
    <row r="14" spans="2:17">
      <c r="B14" s="39">
        <v>45967</v>
      </c>
      <c r="C14" s="46" t="s">
        <v>324</v>
      </c>
      <c r="D14" s="41" t="s">
        <v>19</v>
      </c>
      <c r="E14" s="42" t="s">
        <v>325</v>
      </c>
      <c r="F14" s="43" t="s">
        <v>36</v>
      </c>
      <c r="G14" s="44"/>
      <c r="H14" s="45"/>
      <c r="I14" s="80"/>
      <c r="J14" s="38">
        <v>2334</v>
      </c>
      <c r="K14" s="80"/>
      <c r="L14" s="38"/>
      <c r="M14" s="80"/>
      <c r="N14" s="81"/>
      <c r="O14" s="82"/>
      <c r="P14" s="81"/>
      <c r="Q14" s="91"/>
    </row>
    <row r="15" spans="2:17">
      <c r="B15" s="39">
        <v>45968</v>
      </c>
      <c r="C15" s="40" t="s">
        <v>326</v>
      </c>
      <c r="D15" s="41" t="s">
        <v>19</v>
      </c>
      <c r="E15" s="42" t="s">
        <v>319</v>
      </c>
      <c r="F15" s="43" t="s">
        <v>36</v>
      </c>
      <c r="G15" s="44"/>
      <c r="H15" s="45"/>
      <c r="I15" s="80"/>
      <c r="J15" s="38">
        <v>20259.4</v>
      </c>
      <c r="K15" s="80"/>
      <c r="L15" s="38"/>
      <c r="M15" s="80"/>
      <c r="N15" s="81"/>
      <c r="O15" s="82"/>
      <c r="P15" s="81"/>
      <c r="Q15" s="91"/>
    </row>
    <row r="16" spans="2:17">
      <c r="B16" s="39">
        <v>45975</v>
      </c>
      <c r="C16" s="40" t="s">
        <v>327</v>
      </c>
      <c r="D16" s="41" t="s">
        <v>19</v>
      </c>
      <c r="E16" s="42" t="s">
        <v>325</v>
      </c>
      <c r="F16" s="43" t="s">
        <v>36</v>
      </c>
      <c r="G16" s="44"/>
      <c r="H16" s="45"/>
      <c r="I16" s="80"/>
      <c r="J16" s="38">
        <v>3433.92</v>
      </c>
      <c r="K16" s="80"/>
      <c r="L16" s="38"/>
      <c r="M16" s="80"/>
      <c r="N16" s="81"/>
      <c r="O16" s="82"/>
      <c r="P16" s="81"/>
      <c r="Q16" s="91"/>
    </row>
    <row r="17" spans="2:17">
      <c r="B17" s="39">
        <v>45975</v>
      </c>
      <c r="C17" s="40" t="s">
        <v>327</v>
      </c>
      <c r="D17" s="41" t="s">
        <v>19</v>
      </c>
      <c r="E17" s="42" t="s">
        <v>328</v>
      </c>
      <c r="F17" s="43" t="s">
        <v>36</v>
      </c>
      <c r="G17" s="44"/>
      <c r="H17" s="45"/>
      <c r="I17" s="80"/>
      <c r="J17" s="38">
        <v>19458.88</v>
      </c>
      <c r="K17" s="80"/>
      <c r="L17" s="38"/>
      <c r="M17" s="80"/>
      <c r="N17" s="81"/>
      <c r="O17" s="82"/>
      <c r="P17" s="81"/>
      <c r="Q17" s="91"/>
    </row>
    <row r="18" spans="2:17">
      <c r="B18" s="39">
        <v>45976</v>
      </c>
      <c r="C18" s="40" t="s">
        <v>114</v>
      </c>
      <c r="D18" s="41" t="s">
        <v>19</v>
      </c>
      <c r="E18" s="42" t="s">
        <v>329</v>
      </c>
      <c r="F18" s="43" t="s">
        <v>36</v>
      </c>
      <c r="G18" s="44"/>
      <c r="H18" s="45"/>
      <c r="I18" s="80"/>
      <c r="J18" s="38"/>
      <c r="K18" s="80">
        <v>14832</v>
      </c>
      <c r="L18" s="38"/>
      <c r="M18" s="80"/>
      <c r="N18" s="81"/>
      <c r="O18" s="82"/>
      <c r="P18" s="81"/>
      <c r="Q18" s="91"/>
    </row>
    <row r="19" spans="2:17">
      <c r="B19" s="39">
        <v>45976</v>
      </c>
      <c r="C19" s="40" t="s">
        <v>114</v>
      </c>
      <c r="D19" s="41" t="s">
        <v>19</v>
      </c>
      <c r="E19" s="42" t="s">
        <v>330</v>
      </c>
      <c r="F19" s="43" t="s">
        <v>36</v>
      </c>
      <c r="G19" s="44"/>
      <c r="H19" s="45"/>
      <c r="I19" s="80"/>
      <c r="J19" s="38"/>
      <c r="K19" s="80">
        <v>133488</v>
      </c>
      <c r="L19" s="38"/>
      <c r="M19" s="80"/>
      <c r="N19" s="81"/>
      <c r="O19" s="82"/>
      <c r="P19" s="81"/>
      <c r="Q19" s="91"/>
    </row>
    <row r="20" spans="2:17">
      <c r="B20" s="39">
        <v>45976</v>
      </c>
      <c r="C20" s="40" t="s">
        <v>114</v>
      </c>
      <c r="D20" s="41" t="s">
        <v>19</v>
      </c>
      <c r="E20" s="42" t="s">
        <v>331</v>
      </c>
      <c r="F20" s="43" t="s">
        <v>36</v>
      </c>
      <c r="G20" s="44"/>
      <c r="H20" s="45"/>
      <c r="I20" s="80"/>
      <c r="J20" s="38"/>
      <c r="K20" s="80">
        <v>7800</v>
      </c>
      <c r="L20" s="38"/>
      <c r="M20" s="80"/>
      <c r="N20" s="81"/>
      <c r="O20" s="82"/>
      <c r="P20" s="81"/>
      <c r="Q20" s="91"/>
    </row>
    <row r="21" spans="2:17">
      <c r="B21" s="39">
        <v>45976</v>
      </c>
      <c r="C21" s="40" t="s">
        <v>114</v>
      </c>
      <c r="D21" s="41" t="s">
        <v>19</v>
      </c>
      <c r="E21" s="42" t="s">
        <v>332</v>
      </c>
      <c r="F21" s="43" t="s">
        <v>36</v>
      </c>
      <c r="G21" s="44"/>
      <c r="H21" s="45"/>
      <c r="I21" s="80"/>
      <c r="J21" s="38"/>
      <c r="K21" s="80">
        <v>70200</v>
      </c>
      <c r="L21" s="38"/>
      <c r="M21" s="80"/>
      <c r="N21" s="81"/>
      <c r="O21" s="82"/>
      <c r="P21" s="81"/>
      <c r="Q21" s="91"/>
    </row>
    <row r="22" spans="2:17">
      <c r="B22" s="39">
        <v>45979</v>
      </c>
      <c r="C22" s="40" t="s">
        <v>333</v>
      </c>
      <c r="D22" s="41" t="s">
        <v>19</v>
      </c>
      <c r="E22" s="42" t="s">
        <v>334</v>
      </c>
      <c r="F22" s="43" t="s">
        <v>36</v>
      </c>
      <c r="G22" s="44"/>
      <c r="H22" s="45"/>
      <c r="I22" s="80"/>
      <c r="J22" s="38"/>
      <c r="K22" s="80">
        <v>6800</v>
      </c>
      <c r="L22" s="38"/>
      <c r="M22" s="80"/>
      <c r="N22" s="81"/>
      <c r="O22" s="82"/>
      <c r="P22" s="81"/>
      <c r="Q22" s="91"/>
    </row>
    <row r="23" spans="2:17">
      <c r="B23" s="39">
        <v>45979</v>
      </c>
      <c r="C23" s="40" t="s">
        <v>333</v>
      </c>
      <c r="D23" s="41" t="s">
        <v>19</v>
      </c>
      <c r="E23" s="42" t="s">
        <v>335</v>
      </c>
      <c r="F23" s="43" t="s">
        <v>36</v>
      </c>
      <c r="G23" s="44"/>
      <c r="H23" s="45"/>
      <c r="I23" s="80"/>
      <c r="J23" s="38"/>
      <c r="K23" s="80">
        <v>10500</v>
      </c>
      <c r="L23" s="38"/>
      <c r="M23" s="80"/>
      <c r="N23" s="81"/>
      <c r="O23" s="82"/>
      <c r="P23" s="81"/>
      <c r="Q23" s="91"/>
    </row>
    <row r="24" spans="2:17">
      <c r="B24" s="39">
        <v>45979</v>
      </c>
      <c r="C24" s="40" t="s">
        <v>336</v>
      </c>
      <c r="D24" s="41" t="s">
        <v>170</v>
      </c>
      <c r="E24" s="42"/>
      <c r="F24" s="43" t="s">
        <v>36</v>
      </c>
      <c r="G24" s="44"/>
      <c r="H24" s="45"/>
      <c r="I24" s="80">
        <v>2000.8</v>
      </c>
      <c r="J24" s="38"/>
      <c r="K24" s="80"/>
      <c r="L24" s="38"/>
      <c r="M24" s="80"/>
      <c r="N24" s="81"/>
      <c r="O24" s="82"/>
      <c r="P24" s="81"/>
      <c r="Q24" s="91"/>
    </row>
    <row r="25" spans="2:17">
      <c r="B25" s="39">
        <v>45980</v>
      </c>
      <c r="C25" s="40" t="s">
        <v>326</v>
      </c>
      <c r="D25" s="41" t="s">
        <v>19</v>
      </c>
      <c r="E25" s="42" t="s">
        <v>337</v>
      </c>
      <c r="F25" s="43" t="s">
        <v>36</v>
      </c>
      <c r="G25" s="44"/>
      <c r="H25" s="45"/>
      <c r="I25" s="80"/>
      <c r="J25" s="38">
        <v>1352.4</v>
      </c>
      <c r="K25" s="80"/>
      <c r="L25" s="38"/>
      <c r="M25" s="80"/>
      <c r="N25" s="81"/>
      <c r="O25" s="82"/>
      <c r="P25" s="81"/>
      <c r="Q25" s="91"/>
    </row>
    <row r="26" spans="2:17">
      <c r="B26" s="39">
        <v>45980</v>
      </c>
      <c r="C26" s="40" t="s">
        <v>326</v>
      </c>
      <c r="D26" s="41" t="s">
        <v>19</v>
      </c>
      <c r="E26" s="42" t="s">
        <v>338</v>
      </c>
      <c r="F26" s="43" t="s">
        <v>36</v>
      </c>
      <c r="G26" s="44"/>
      <c r="H26" s="45"/>
      <c r="I26" s="80"/>
      <c r="J26" s="38">
        <v>12420</v>
      </c>
      <c r="K26" s="80"/>
      <c r="L26" s="38"/>
      <c r="M26" s="80"/>
      <c r="N26" s="81"/>
      <c r="O26" s="82"/>
      <c r="P26" s="81"/>
      <c r="Q26" s="91"/>
    </row>
    <row r="27" spans="2:17">
      <c r="B27" s="39">
        <v>45981</v>
      </c>
      <c r="C27" s="40" t="s">
        <v>111</v>
      </c>
      <c r="D27" s="41" t="s">
        <v>49</v>
      </c>
      <c r="E27" s="42" t="s">
        <v>339</v>
      </c>
      <c r="F27" s="43" t="s">
        <v>36</v>
      </c>
      <c r="G27" s="44"/>
      <c r="H27" s="45"/>
      <c r="I27" s="80"/>
      <c r="J27" s="38"/>
      <c r="K27" s="80">
        <v>231.4</v>
      </c>
      <c r="L27" s="38"/>
      <c r="M27" s="80"/>
      <c r="N27" s="81"/>
      <c r="O27" s="82"/>
      <c r="P27" s="81"/>
      <c r="Q27" s="91"/>
    </row>
    <row r="28" spans="2:17">
      <c r="B28" s="39">
        <v>45981</v>
      </c>
      <c r="C28" s="40" t="s">
        <v>111</v>
      </c>
      <c r="D28" s="41" t="s">
        <v>49</v>
      </c>
      <c r="E28" s="42" t="s">
        <v>340</v>
      </c>
      <c r="F28" s="43" t="s">
        <v>36</v>
      </c>
      <c r="G28" s="44"/>
      <c r="H28" s="45"/>
      <c r="I28" s="80"/>
      <c r="J28" s="38"/>
      <c r="K28" s="80">
        <v>2340</v>
      </c>
      <c r="L28" s="38"/>
      <c r="M28" s="80"/>
      <c r="N28" s="81"/>
      <c r="O28" s="82"/>
      <c r="P28" s="81"/>
      <c r="Q28" s="91"/>
    </row>
    <row r="29" spans="2:17">
      <c r="B29" s="39">
        <v>45981</v>
      </c>
      <c r="C29" s="40" t="s">
        <v>111</v>
      </c>
      <c r="D29" s="41" t="s">
        <v>49</v>
      </c>
      <c r="E29" s="42" t="s">
        <v>341</v>
      </c>
      <c r="F29" s="43" t="s">
        <v>36</v>
      </c>
      <c r="G29" s="44"/>
      <c r="H29" s="45"/>
      <c r="I29" s="80"/>
      <c r="J29" s="38"/>
      <c r="K29" s="80">
        <v>498.4</v>
      </c>
      <c r="L29" s="38"/>
      <c r="M29" s="80"/>
      <c r="N29" s="81"/>
      <c r="O29" s="82"/>
      <c r="P29" s="81"/>
      <c r="Q29" s="91"/>
    </row>
    <row r="30" spans="2:17">
      <c r="B30" s="39">
        <v>45981</v>
      </c>
      <c r="C30" s="40" t="s">
        <v>111</v>
      </c>
      <c r="D30" s="41" t="s">
        <v>49</v>
      </c>
      <c r="E30" s="42" t="s">
        <v>342</v>
      </c>
      <c r="F30" s="43" t="s">
        <v>36</v>
      </c>
      <c r="G30" s="44"/>
      <c r="H30" s="45"/>
      <c r="I30" s="80"/>
      <c r="J30" s="38"/>
      <c r="K30" s="80">
        <v>5040</v>
      </c>
      <c r="L30" s="38"/>
      <c r="M30" s="80"/>
      <c r="N30" s="81"/>
      <c r="O30" s="82"/>
      <c r="P30" s="81"/>
      <c r="Q30" s="91"/>
    </row>
    <row r="31" spans="2:17">
      <c r="B31" s="39">
        <v>45981</v>
      </c>
      <c r="C31" s="93" t="s">
        <v>111</v>
      </c>
      <c r="D31" s="41" t="s">
        <v>49</v>
      </c>
      <c r="E31" s="42" t="s">
        <v>343</v>
      </c>
      <c r="F31" s="43" t="s">
        <v>36</v>
      </c>
      <c r="G31" s="44"/>
      <c r="H31" s="45"/>
      <c r="I31" s="80"/>
      <c r="J31" s="38"/>
      <c r="K31" s="80">
        <v>498.4</v>
      </c>
      <c r="L31" s="38"/>
      <c r="M31" s="80"/>
      <c r="N31" s="81"/>
      <c r="O31" s="82"/>
      <c r="P31" s="81"/>
      <c r="Q31" s="91"/>
    </row>
    <row r="32" spans="2:17">
      <c r="B32" s="39">
        <v>45981</v>
      </c>
      <c r="C32" s="93" t="s">
        <v>111</v>
      </c>
      <c r="D32" s="41" t="s">
        <v>49</v>
      </c>
      <c r="E32" s="42" t="s">
        <v>344</v>
      </c>
      <c r="F32" s="43" t="s">
        <v>36</v>
      </c>
      <c r="G32" s="44"/>
      <c r="H32" s="45"/>
      <c r="I32" s="80"/>
      <c r="J32" s="38"/>
      <c r="K32" s="80">
        <v>5040</v>
      </c>
      <c r="L32" s="38"/>
      <c r="M32" s="80"/>
      <c r="N32" s="81"/>
      <c r="O32" s="82"/>
      <c r="P32" s="81"/>
      <c r="Q32" s="91"/>
    </row>
    <row r="33" spans="2:17">
      <c r="B33" s="39">
        <v>45982</v>
      </c>
      <c r="C33" s="40" t="s">
        <v>345</v>
      </c>
      <c r="D33" s="41" t="s">
        <v>19</v>
      </c>
      <c r="E33" s="42" t="s">
        <v>346</v>
      </c>
      <c r="F33" s="43" t="s">
        <v>36</v>
      </c>
      <c r="G33" s="44"/>
      <c r="H33" s="45"/>
      <c r="I33" s="80"/>
      <c r="J33" s="38">
        <v>5830</v>
      </c>
      <c r="K33" s="80"/>
      <c r="L33" s="38"/>
      <c r="M33" s="80"/>
      <c r="N33" s="81"/>
      <c r="O33" s="82"/>
      <c r="P33" s="81"/>
      <c r="Q33" s="91"/>
    </row>
    <row r="34" spans="2:17">
      <c r="B34" s="39">
        <v>45982</v>
      </c>
      <c r="C34" s="46" t="s">
        <v>215</v>
      </c>
      <c r="D34" s="41" t="s">
        <v>19</v>
      </c>
      <c r="E34" s="42" t="s">
        <v>347</v>
      </c>
      <c r="F34" s="43" t="s">
        <v>36</v>
      </c>
      <c r="G34" s="44"/>
      <c r="H34" s="45"/>
      <c r="I34" s="80"/>
      <c r="J34" s="38"/>
      <c r="K34" s="80">
        <v>3900</v>
      </c>
      <c r="L34" s="38"/>
      <c r="M34" s="80"/>
      <c r="N34" s="81"/>
      <c r="O34" s="82"/>
      <c r="P34" s="81"/>
      <c r="Q34" s="91"/>
    </row>
    <row r="35" spans="2:17">
      <c r="B35" s="39">
        <v>45982</v>
      </c>
      <c r="C35" s="46" t="s">
        <v>215</v>
      </c>
      <c r="D35" s="41" t="s">
        <v>19</v>
      </c>
      <c r="E35" s="42" t="s">
        <v>348</v>
      </c>
      <c r="F35" s="43" t="s">
        <v>36</v>
      </c>
      <c r="G35" s="44"/>
      <c r="H35" s="45"/>
      <c r="I35" s="80"/>
      <c r="J35" s="38"/>
      <c r="K35" s="80">
        <v>35100</v>
      </c>
      <c r="L35" s="38"/>
      <c r="M35" s="80"/>
      <c r="N35" s="81"/>
      <c r="O35" s="82"/>
      <c r="P35" s="81"/>
      <c r="Q35" s="91"/>
    </row>
    <row r="36" spans="2:17">
      <c r="B36" s="39">
        <v>45982</v>
      </c>
      <c r="C36" s="46" t="s">
        <v>349</v>
      </c>
      <c r="D36" s="41" t="s">
        <v>49</v>
      </c>
      <c r="E36" s="42"/>
      <c r="F36" s="43" t="s">
        <v>36</v>
      </c>
      <c r="G36" s="44"/>
      <c r="H36" s="45"/>
      <c r="I36" s="80"/>
      <c r="J36" s="38"/>
      <c r="K36" s="80"/>
      <c r="L36" s="38"/>
      <c r="M36" s="80">
        <v>15900</v>
      </c>
      <c r="N36" s="81"/>
      <c r="O36" s="82"/>
      <c r="P36" s="81"/>
      <c r="Q36" s="91"/>
    </row>
    <row r="37" spans="2:17">
      <c r="B37" s="39">
        <v>45982</v>
      </c>
      <c r="C37" s="46" t="s">
        <v>324</v>
      </c>
      <c r="D37" s="41" t="s">
        <v>19</v>
      </c>
      <c r="E37" s="42" t="s">
        <v>350</v>
      </c>
      <c r="F37" s="43" t="s">
        <v>36</v>
      </c>
      <c r="G37" s="44"/>
      <c r="H37" s="45"/>
      <c r="I37" s="80"/>
      <c r="J37" s="38">
        <v>2200</v>
      </c>
      <c r="K37" s="80"/>
      <c r="L37" s="38"/>
      <c r="M37" s="80"/>
      <c r="N37" s="81"/>
      <c r="O37" s="82"/>
      <c r="P37" s="81"/>
      <c r="Q37" s="91"/>
    </row>
    <row r="38" spans="2:17">
      <c r="B38" s="39">
        <v>45986</v>
      </c>
      <c r="C38" s="46" t="s">
        <v>351</v>
      </c>
      <c r="D38" s="41" t="s">
        <v>19</v>
      </c>
      <c r="E38" s="42" t="s">
        <v>323</v>
      </c>
      <c r="F38" s="43" t="s">
        <v>36</v>
      </c>
      <c r="G38" s="44"/>
      <c r="H38" s="45"/>
      <c r="I38" s="80"/>
      <c r="J38" s="38"/>
      <c r="K38" s="80">
        <v>1843.86</v>
      </c>
      <c r="L38" s="38"/>
      <c r="M38" s="80"/>
      <c r="N38" s="81"/>
      <c r="O38" s="82"/>
      <c r="P38" s="81"/>
      <c r="Q38" s="91"/>
    </row>
    <row r="39" spans="2:17">
      <c r="B39" s="39">
        <v>45986</v>
      </c>
      <c r="C39" s="46" t="s">
        <v>351</v>
      </c>
      <c r="D39" s="41" t="s">
        <v>19</v>
      </c>
      <c r="E39" s="42" t="s">
        <v>352</v>
      </c>
      <c r="F39" s="43" t="s">
        <v>36</v>
      </c>
      <c r="G39" s="44"/>
      <c r="H39" s="45"/>
      <c r="I39" s="80"/>
      <c r="J39" s="38"/>
      <c r="K39" s="80">
        <v>16594.74</v>
      </c>
      <c r="L39" s="38"/>
      <c r="M39" s="80"/>
      <c r="N39" s="81"/>
      <c r="O39" s="82"/>
      <c r="P39" s="81"/>
      <c r="Q39" s="91"/>
    </row>
    <row r="40" spans="2:17">
      <c r="B40" s="39">
        <v>45989</v>
      </c>
      <c r="C40" s="46" t="s">
        <v>353</v>
      </c>
      <c r="D40" s="41" t="s">
        <v>19</v>
      </c>
      <c r="E40" s="42" t="s">
        <v>354</v>
      </c>
      <c r="F40" s="43" t="s">
        <v>36</v>
      </c>
      <c r="G40" s="44"/>
      <c r="H40" s="45"/>
      <c r="I40" s="80"/>
      <c r="J40" s="38">
        <v>27540</v>
      </c>
      <c r="K40" s="80"/>
      <c r="L40" s="38"/>
      <c r="M40" s="80"/>
      <c r="N40" s="81"/>
      <c r="O40" s="82"/>
      <c r="P40" s="81"/>
      <c r="Q40" s="91"/>
    </row>
    <row r="41" spans="2:17">
      <c r="B41" s="39"/>
      <c r="C41" s="47"/>
      <c r="D41" s="41"/>
      <c r="E41" s="42"/>
      <c r="F41" s="49"/>
      <c r="G41" s="44"/>
      <c r="H41" s="45"/>
      <c r="I41" s="80"/>
      <c r="J41" s="38"/>
      <c r="K41" s="83"/>
      <c r="L41" s="38"/>
      <c r="M41" s="80"/>
      <c r="N41" s="81"/>
      <c r="O41" s="82"/>
      <c r="P41" s="81"/>
      <c r="Q41" s="91"/>
    </row>
    <row r="42" ht="15.15" spans="2:17">
      <c r="B42" s="39"/>
      <c r="C42" s="47"/>
      <c r="D42" s="48"/>
      <c r="E42" s="47"/>
      <c r="F42" s="49"/>
      <c r="G42" s="44"/>
      <c r="H42" s="45"/>
      <c r="I42" s="82"/>
      <c r="J42" s="38"/>
      <c r="K42" s="83"/>
      <c r="L42" s="38"/>
      <c r="M42" s="80"/>
      <c r="N42" s="81"/>
      <c r="O42" s="83"/>
      <c r="P42" s="81"/>
      <c r="Q42" s="80"/>
    </row>
    <row r="43" ht="15.15" spans="2:17">
      <c r="B43" s="50"/>
      <c r="C43" s="51"/>
      <c r="D43" s="52"/>
      <c r="E43" s="53"/>
      <c r="F43" s="52"/>
      <c r="G43" s="54">
        <f t="shared" ref="G43:Q43" si="1">SUM(G8:G42)</f>
        <v>0</v>
      </c>
      <c r="H43" s="55">
        <f t="shared" si="1"/>
        <v>0</v>
      </c>
      <c r="I43" s="84">
        <f t="shared" si="1"/>
        <v>2000.8</v>
      </c>
      <c r="J43" s="85">
        <f t="shared" si="1"/>
        <v>97053.6</v>
      </c>
      <c r="K43" s="86">
        <f t="shared" si="1"/>
        <v>314706.8</v>
      </c>
      <c r="L43" s="87">
        <f t="shared" si="1"/>
        <v>0</v>
      </c>
      <c r="M43" s="88">
        <f t="shared" si="1"/>
        <v>96268.62</v>
      </c>
      <c r="N43" s="89">
        <f t="shared" si="1"/>
        <v>0</v>
      </c>
      <c r="O43" s="89">
        <f t="shared" si="1"/>
        <v>0</v>
      </c>
      <c r="P43" s="55">
        <f t="shared" si="1"/>
        <v>0</v>
      </c>
      <c r="Q43" s="92">
        <f t="shared" si="1"/>
        <v>0</v>
      </c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="2" customFormat="1" spans="1:22">
      <c r="A49" s="6"/>
      <c r="B49" s="3"/>
      <c r="C49"/>
      <c r="D49" s="1"/>
      <c r="E49"/>
      <c r="F49" s="4"/>
      <c r="G49" s="5"/>
      <c r="H49"/>
      <c r="I49" s="6"/>
      <c r="J49" s="1"/>
      <c r="K49" s="1"/>
      <c r="L49" s="1"/>
      <c r="M49" s="1"/>
      <c r="N49" s="1"/>
      <c r="O49" s="1"/>
      <c r="P49" s="7"/>
      <c r="Q49" s="1"/>
      <c r="R49"/>
      <c r="S49"/>
      <c r="T49"/>
      <c r="U49"/>
      <c r="V49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49986266670736"/>
  </sheetPr>
  <dimension ref="A1:V32"/>
  <sheetViews>
    <sheetView tabSelected="1" zoomScale="90" zoomScaleNormal="90" workbookViewId="0">
      <pane xSplit="5" ySplit="7" topLeftCell="F8" activePane="bottomRight" state="frozen"/>
      <selection/>
      <selection pane="topRight"/>
      <selection pane="bottomLeft"/>
      <selection pane="bottomRight" activeCell="B3" sqref="B3:C3"/>
    </sheetView>
  </sheetViews>
  <sheetFormatPr defaultColWidth="9" defaultRowHeight="14.4"/>
  <cols>
    <col min="1" max="1" width="1.33333333333333" customWidth="1"/>
    <col min="2" max="2" width="5.66666666666667" style="3" customWidth="1"/>
    <col min="3" max="3" width="53.5555555555556" customWidth="1"/>
    <col min="4" max="4" width="8.44444444444444" style="1" customWidth="1"/>
    <col min="5" max="5" width="11.3333333333333" customWidth="1"/>
    <col min="6" max="6" width="18.4444444444444" style="4" customWidth="1"/>
    <col min="7" max="7" width="12.8888888888889" style="5" customWidth="1"/>
    <col min="8" max="8" width="17.6666666666667" customWidth="1"/>
    <col min="9" max="9" width="17.1111111111111" style="6" customWidth="1"/>
    <col min="10" max="10" width="14.3333333333333" style="1" customWidth="1"/>
    <col min="11" max="11" width="19.1111111111111" style="1" customWidth="1"/>
    <col min="12" max="12" width="11.6666666666667" style="1" customWidth="1"/>
    <col min="13" max="13" width="15.6666666666667" style="1" customWidth="1"/>
    <col min="14" max="14" width="13.6666666666667" style="1" customWidth="1"/>
    <col min="15" max="15" width="17.1111111111111" style="1" customWidth="1"/>
    <col min="16" max="16" width="11.6666666666667" style="7" customWidth="1"/>
    <col min="17" max="17" width="22.3333333333333" style="1" customWidth="1"/>
    <col min="18" max="18" width="2.44444444444444" customWidth="1"/>
  </cols>
  <sheetData>
    <row r="1" spans="2:17">
      <c r="B1" s="8"/>
      <c r="C1" s="9" t="s">
        <v>355</v>
      </c>
      <c r="D1" s="10"/>
      <c r="E1" s="11"/>
      <c r="F1" s="12"/>
      <c r="G1" s="13"/>
      <c r="H1" s="11"/>
      <c r="I1" s="56"/>
      <c r="J1" s="10"/>
      <c r="K1" s="10"/>
      <c r="L1" s="10"/>
      <c r="M1" s="10"/>
      <c r="N1" s="10"/>
      <c r="O1" s="10"/>
      <c r="P1" s="57"/>
      <c r="Q1" s="10"/>
    </row>
    <row r="2" ht="15.15" spans="2:17">
      <c r="B2" s="8"/>
      <c r="C2" s="9"/>
      <c r="D2" s="10"/>
      <c r="E2" s="11"/>
      <c r="F2" s="12"/>
      <c r="G2" s="13"/>
      <c r="H2" s="12"/>
      <c r="I2" s="58"/>
      <c r="J2" s="12"/>
      <c r="K2" s="12"/>
      <c r="L2" s="12"/>
      <c r="M2" s="12"/>
      <c r="N2" s="59"/>
      <c r="O2" s="59"/>
      <c r="P2" s="12"/>
      <c r="Q2" s="12"/>
    </row>
    <row r="3" spans="2:17">
      <c r="B3" s="14" t="s">
        <v>1</v>
      </c>
      <c r="C3" s="15"/>
      <c r="D3" s="16">
        <f>I5+K5+M5+O5+Q5</f>
        <v>303147.84</v>
      </c>
      <c r="E3" s="17"/>
      <c r="F3" s="18">
        <f>D3+D4</f>
        <v>371205.12</v>
      </c>
      <c r="G3" s="19" t="s">
        <v>2</v>
      </c>
      <c r="H3" s="20" t="s">
        <v>3</v>
      </c>
      <c r="I3" s="20"/>
      <c r="J3" s="60" t="s">
        <v>4</v>
      </c>
      <c r="K3" s="60"/>
      <c r="L3" s="61" t="s">
        <v>5</v>
      </c>
      <c r="M3" s="61"/>
      <c r="N3" s="62" t="s">
        <v>6</v>
      </c>
      <c r="O3" s="63"/>
      <c r="P3" s="64" t="s">
        <v>258</v>
      </c>
      <c r="Q3" s="64"/>
    </row>
    <row r="4" ht="15.15" spans="2:17">
      <c r="B4" s="21" t="s">
        <v>8</v>
      </c>
      <c r="C4" s="22"/>
      <c r="D4" s="23">
        <f>H5+J5+L5+N5+P5</f>
        <v>68057.28</v>
      </c>
      <c r="E4" s="24"/>
      <c r="F4" s="25"/>
      <c r="G4" s="19"/>
      <c r="H4" s="26" t="s">
        <v>9</v>
      </c>
      <c r="I4" s="65" t="s">
        <v>10</v>
      </c>
      <c r="J4" s="66" t="s">
        <v>9</v>
      </c>
      <c r="K4" s="67" t="s">
        <v>10</v>
      </c>
      <c r="L4" s="68" t="s">
        <v>9</v>
      </c>
      <c r="M4" s="69" t="s">
        <v>10</v>
      </c>
      <c r="N4" s="70" t="s">
        <v>9</v>
      </c>
      <c r="O4" s="71" t="s">
        <v>10</v>
      </c>
      <c r="P4" s="72" t="s">
        <v>9</v>
      </c>
      <c r="Q4" s="90" t="s">
        <v>10</v>
      </c>
    </row>
    <row r="5" ht="15.15" spans="2:17">
      <c r="B5" s="27" t="s">
        <v>11</v>
      </c>
      <c r="C5" s="28"/>
      <c r="D5" s="29">
        <f>G5</f>
        <v>0</v>
      </c>
      <c r="E5" s="30"/>
      <c r="F5" s="12"/>
      <c r="G5" s="31">
        <f t="shared" ref="G5:Q5" si="0">G26</f>
        <v>0</v>
      </c>
      <c r="H5" s="32">
        <f t="shared" si="0"/>
        <v>0</v>
      </c>
      <c r="I5" s="73">
        <f t="shared" si="0"/>
        <v>0</v>
      </c>
      <c r="J5" s="32">
        <f t="shared" si="0"/>
        <v>68057.28</v>
      </c>
      <c r="K5" s="73">
        <f t="shared" si="0"/>
        <v>303147.84</v>
      </c>
      <c r="L5" s="32">
        <f t="shared" si="0"/>
        <v>0</v>
      </c>
      <c r="M5" s="73">
        <f t="shared" si="0"/>
        <v>0</v>
      </c>
      <c r="N5" s="74">
        <f t="shared" si="0"/>
        <v>0</v>
      </c>
      <c r="O5" s="75">
        <f t="shared" si="0"/>
        <v>0</v>
      </c>
      <c r="P5" s="32">
        <f t="shared" si="0"/>
        <v>0</v>
      </c>
      <c r="Q5" s="73">
        <f t="shared" si="0"/>
        <v>0</v>
      </c>
    </row>
    <row r="6" s="1" customFormat="1" ht="4.5" customHeight="1" spans="2:17">
      <c r="B6" s="8"/>
      <c r="C6" s="10"/>
      <c r="D6" s="10"/>
      <c r="E6" s="11"/>
      <c r="F6" s="12"/>
      <c r="G6" s="33"/>
      <c r="H6" s="34"/>
      <c r="I6" s="76"/>
      <c r="J6" s="34"/>
      <c r="K6" s="76"/>
      <c r="L6" s="34"/>
      <c r="M6" s="76"/>
      <c r="N6" s="77"/>
      <c r="O6" s="78"/>
      <c r="P6" s="34"/>
      <c r="Q6" s="76"/>
    </row>
    <row r="7" s="1" customFormat="1" spans="2:17">
      <c r="B7" s="35" t="s">
        <v>12</v>
      </c>
      <c r="C7" s="36" t="s">
        <v>13</v>
      </c>
      <c r="D7" s="36" t="s">
        <v>14</v>
      </c>
      <c r="E7" s="36" t="s">
        <v>15</v>
      </c>
      <c r="F7" s="36" t="s">
        <v>16</v>
      </c>
      <c r="G7" s="37" t="s">
        <v>17</v>
      </c>
      <c r="H7" s="38" t="s">
        <v>9</v>
      </c>
      <c r="I7" s="79" t="s">
        <v>10</v>
      </c>
      <c r="J7" s="38" t="s">
        <v>9</v>
      </c>
      <c r="K7" s="79" t="s">
        <v>10</v>
      </c>
      <c r="L7" s="38" t="s">
        <v>9</v>
      </c>
      <c r="M7" s="79" t="s">
        <v>10</v>
      </c>
      <c r="N7" s="38" t="s">
        <v>9</v>
      </c>
      <c r="O7" s="79" t="s">
        <v>10</v>
      </c>
      <c r="P7" s="38" t="s">
        <v>9</v>
      </c>
      <c r="Q7" s="79" t="s">
        <v>10</v>
      </c>
    </row>
    <row r="8" spans="2:17">
      <c r="B8" s="39">
        <v>45992</v>
      </c>
      <c r="C8" s="40" t="s">
        <v>111</v>
      </c>
      <c r="D8" s="41" t="s">
        <v>49</v>
      </c>
      <c r="E8" s="42"/>
      <c r="F8" s="43" t="s">
        <v>36</v>
      </c>
      <c r="G8" s="44"/>
      <c r="H8" s="45"/>
      <c r="I8" s="80"/>
      <c r="J8" s="38"/>
      <c r="K8" s="80">
        <v>58419.9</v>
      </c>
      <c r="L8" s="38"/>
      <c r="M8" s="80"/>
      <c r="N8" s="81"/>
      <c r="O8" s="82"/>
      <c r="P8" s="81"/>
      <c r="Q8" s="91"/>
    </row>
    <row r="9" spans="2:17">
      <c r="B9" s="39">
        <v>45999</v>
      </c>
      <c r="C9" s="46" t="s">
        <v>356</v>
      </c>
      <c r="D9" s="41" t="s">
        <v>19</v>
      </c>
      <c r="E9" s="42" t="s">
        <v>357</v>
      </c>
      <c r="F9" s="43" t="s">
        <v>36</v>
      </c>
      <c r="G9" s="44"/>
      <c r="H9" s="45"/>
      <c r="I9" s="80"/>
      <c r="J9" s="38">
        <v>2500</v>
      </c>
      <c r="K9" s="80"/>
      <c r="L9" s="38"/>
      <c r="M9" s="80"/>
      <c r="N9" s="81"/>
      <c r="O9" s="82"/>
      <c r="P9" s="81"/>
      <c r="Q9" s="91"/>
    </row>
    <row r="10" spans="2:17">
      <c r="B10" s="39">
        <v>46002</v>
      </c>
      <c r="C10" s="40" t="s">
        <v>358</v>
      </c>
      <c r="D10" s="41" t="s">
        <v>19</v>
      </c>
      <c r="E10" s="42" t="s">
        <v>359</v>
      </c>
      <c r="F10" s="43" t="s">
        <v>36</v>
      </c>
      <c r="G10" s="44"/>
      <c r="H10" s="45"/>
      <c r="I10" s="80"/>
      <c r="J10" s="38"/>
      <c r="K10" s="80">
        <v>16800</v>
      </c>
      <c r="L10" s="38"/>
      <c r="M10" s="80"/>
      <c r="N10" s="81"/>
      <c r="O10" s="82"/>
      <c r="P10" s="81"/>
      <c r="Q10" s="91"/>
    </row>
    <row r="11" spans="2:17">
      <c r="B11" s="39">
        <v>46002</v>
      </c>
      <c r="C11" s="40" t="s">
        <v>114</v>
      </c>
      <c r="D11" s="41" t="s">
        <v>19</v>
      </c>
      <c r="E11" s="42" t="s">
        <v>360</v>
      </c>
      <c r="F11" s="43" t="s">
        <v>36</v>
      </c>
      <c r="G11" s="44"/>
      <c r="H11" s="45"/>
      <c r="I11" s="80"/>
      <c r="J11" s="38"/>
      <c r="K11" s="80">
        <v>8832</v>
      </c>
      <c r="L11" s="38"/>
      <c r="M11" s="80"/>
      <c r="N11" s="81"/>
      <c r="O11" s="82"/>
      <c r="P11" s="81"/>
      <c r="Q11" s="91"/>
    </row>
    <row r="12" spans="2:17">
      <c r="B12" s="39">
        <v>46002</v>
      </c>
      <c r="C12" s="40" t="s">
        <v>114</v>
      </c>
      <c r="D12" s="41" t="s">
        <v>19</v>
      </c>
      <c r="E12" s="42" t="s">
        <v>361</v>
      </c>
      <c r="F12" s="43" t="s">
        <v>36</v>
      </c>
      <c r="G12" s="44"/>
      <c r="H12" s="45"/>
      <c r="I12" s="80"/>
      <c r="J12" s="38"/>
      <c r="K12" s="80">
        <v>105408</v>
      </c>
      <c r="L12" s="38"/>
      <c r="M12" s="80"/>
      <c r="N12" s="81"/>
      <c r="O12" s="82"/>
      <c r="P12" s="81"/>
      <c r="Q12" s="91"/>
    </row>
    <row r="13" spans="2:17">
      <c r="B13" s="39">
        <v>46002</v>
      </c>
      <c r="C13" s="40" t="s">
        <v>114</v>
      </c>
      <c r="D13" s="41" t="s">
        <v>19</v>
      </c>
      <c r="E13" s="42" t="s">
        <v>362</v>
      </c>
      <c r="F13" s="43" t="s">
        <v>36</v>
      </c>
      <c r="G13" s="44"/>
      <c r="H13" s="45"/>
      <c r="I13" s="80"/>
      <c r="J13" s="38"/>
      <c r="K13" s="80">
        <v>5500</v>
      </c>
      <c r="L13" s="38"/>
      <c r="M13" s="80"/>
      <c r="N13" s="81"/>
      <c r="O13" s="82"/>
      <c r="P13" s="81"/>
      <c r="Q13" s="91"/>
    </row>
    <row r="14" spans="2:17">
      <c r="B14" s="39">
        <v>46002</v>
      </c>
      <c r="C14" s="40" t="s">
        <v>114</v>
      </c>
      <c r="D14" s="41" t="s">
        <v>19</v>
      </c>
      <c r="E14" s="42" t="s">
        <v>363</v>
      </c>
      <c r="F14" s="43" t="s">
        <v>36</v>
      </c>
      <c r="G14" s="44"/>
      <c r="H14" s="45"/>
      <c r="I14" s="80"/>
      <c r="J14" s="38"/>
      <c r="K14" s="80">
        <v>49500</v>
      </c>
      <c r="L14" s="38"/>
      <c r="M14" s="80"/>
      <c r="N14" s="81"/>
      <c r="O14" s="82"/>
      <c r="P14" s="81"/>
      <c r="Q14" s="91"/>
    </row>
    <row r="15" spans="2:17">
      <c r="B15" s="39">
        <v>46006</v>
      </c>
      <c r="C15" s="40" t="s">
        <v>364</v>
      </c>
      <c r="D15" s="41" t="s">
        <v>49</v>
      </c>
      <c r="E15" s="42" t="s">
        <v>365</v>
      </c>
      <c r="F15" s="43" t="s">
        <v>36</v>
      </c>
      <c r="G15" s="44"/>
      <c r="H15" s="45"/>
      <c r="I15" s="80"/>
      <c r="J15" s="38"/>
      <c r="K15" s="80">
        <v>1301.74</v>
      </c>
      <c r="L15" s="38"/>
      <c r="M15" s="80"/>
      <c r="N15" s="81"/>
      <c r="O15" s="82"/>
      <c r="P15" s="81"/>
      <c r="Q15" s="91"/>
    </row>
    <row r="16" spans="2:17">
      <c r="B16" s="39">
        <v>46006</v>
      </c>
      <c r="C16" s="40" t="s">
        <v>364</v>
      </c>
      <c r="D16" s="41" t="s">
        <v>49</v>
      </c>
      <c r="E16" s="42" t="s">
        <v>366</v>
      </c>
      <c r="F16" s="43" t="s">
        <v>36</v>
      </c>
      <c r="G16" s="44"/>
      <c r="H16" s="45"/>
      <c r="I16" s="80"/>
      <c r="J16" s="38"/>
      <c r="K16" s="80">
        <v>8925</v>
      </c>
      <c r="L16" s="38"/>
      <c r="M16" s="80"/>
      <c r="N16" s="81"/>
      <c r="O16" s="82"/>
      <c r="P16" s="81"/>
      <c r="Q16" s="91"/>
    </row>
    <row r="17" spans="2:17">
      <c r="B17" s="39">
        <v>46006</v>
      </c>
      <c r="C17" s="40" t="s">
        <v>367</v>
      </c>
      <c r="D17" s="41" t="s">
        <v>19</v>
      </c>
      <c r="E17" s="42"/>
      <c r="F17" s="43" t="s">
        <v>36</v>
      </c>
      <c r="G17" s="44"/>
      <c r="H17" s="45"/>
      <c r="I17" s="80"/>
      <c r="J17" s="38"/>
      <c r="K17" s="80">
        <v>5400</v>
      </c>
      <c r="L17" s="38"/>
      <c r="M17" s="80"/>
      <c r="N17" s="81"/>
      <c r="O17" s="82"/>
      <c r="P17" s="81"/>
      <c r="Q17" s="91"/>
    </row>
    <row r="18" spans="2:17">
      <c r="B18" s="39">
        <v>46006</v>
      </c>
      <c r="C18" s="46" t="s">
        <v>353</v>
      </c>
      <c r="D18" s="41" t="s">
        <v>19</v>
      </c>
      <c r="E18" s="42" t="s">
        <v>368</v>
      </c>
      <c r="F18" s="43" t="s">
        <v>36</v>
      </c>
      <c r="G18" s="44"/>
      <c r="H18" s="45"/>
      <c r="I18" s="80"/>
      <c r="J18" s="38">
        <v>32640</v>
      </c>
      <c r="K18" s="80"/>
      <c r="L18" s="38"/>
      <c r="M18" s="80"/>
      <c r="N18" s="81"/>
      <c r="O18" s="82"/>
      <c r="P18" s="81"/>
      <c r="Q18" s="91"/>
    </row>
    <row r="19" spans="2:17">
      <c r="B19" s="39">
        <v>46013</v>
      </c>
      <c r="C19" s="40" t="s">
        <v>369</v>
      </c>
      <c r="D19" s="41" t="s">
        <v>19</v>
      </c>
      <c r="E19" s="42" t="s">
        <v>370</v>
      </c>
      <c r="F19" s="43" t="s">
        <v>36</v>
      </c>
      <c r="G19" s="44"/>
      <c r="H19" s="45"/>
      <c r="I19" s="80"/>
      <c r="J19" s="38"/>
      <c r="K19" s="80">
        <v>11205</v>
      </c>
      <c r="L19" s="38"/>
      <c r="M19" s="80"/>
      <c r="N19" s="81"/>
      <c r="O19" s="82"/>
      <c r="P19" s="81"/>
      <c r="Q19" s="91"/>
    </row>
    <row r="20" spans="2:17">
      <c r="B20" s="39">
        <v>46015</v>
      </c>
      <c r="C20" s="40" t="s">
        <v>326</v>
      </c>
      <c r="D20" s="41" t="s">
        <v>19</v>
      </c>
      <c r="E20" s="42" t="s">
        <v>371</v>
      </c>
      <c r="F20" s="43" t="s">
        <v>36</v>
      </c>
      <c r="G20" s="44"/>
      <c r="H20" s="45"/>
      <c r="I20" s="80"/>
      <c r="J20" s="38"/>
      <c r="K20" s="80">
        <v>31856.2</v>
      </c>
      <c r="L20" s="38"/>
      <c r="M20" s="80"/>
      <c r="N20" s="81"/>
      <c r="O20" s="82"/>
      <c r="P20" s="81"/>
      <c r="Q20" s="91"/>
    </row>
    <row r="21" spans="2:17">
      <c r="B21" s="39">
        <v>46020</v>
      </c>
      <c r="C21" s="46" t="s">
        <v>367</v>
      </c>
      <c r="D21" s="41" t="s">
        <v>19</v>
      </c>
      <c r="E21" s="42" t="s">
        <v>372</v>
      </c>
      <c r="F21" s="43" t="s">
        <v>36</v>
      </c>
      <c r="G21" s="44"/>
      <c r="H21" s="45"/>
      <c r="I21" s="80"/>
      <c r="J21" s="38">
        <v>8100</v>
      </c>
      <c r="K21" s="80"/>
      <c r="L21" s="38"/>
      <c r="M21" s="80"/>
      <c r="N21" s="81"/>
      <c r="O21" s="82"/>
      <c r="P21" s="81"/>
      <c r="Q21" s="91"/>
    </row>
    <row r="22" spans="2:17">
      <c r="B22" s="39">
        <v>46020</v>
      </c>
      <c r="C22" s="40" t="s">
        <v>373</v>
      </c>
      <c r="D22" s="41" t="s">
        <v>19</v>
      </c>
      <c r="E22" s="42" t="s">
        <v>374</v>
      </c>
      <c r="F22" s="43" t="s">
        <v>36</v>
      </c>
      <c r="G22" s="44"/>
      <c r="H22" s="45"/>
      <c r="I22" s="80"/>
      <c r="J22" s="38">
        <v>2500</v>
      </c>
      <c r="K22" s="80"/>
      <c r="L22" s="38"/>
      <c r="M22" s="80"/>
      <c r="N22" s="81"/>
      <c r="O22" s="82"/>
      <c r="P22" s="81"/>
      <c r="Q22" s="91"/>
    </row>
    <row r="23" spans="2:17">
      <c r="B23" s="39">
        <v>46020</v>
      </c>
      <c r="C23" s="47" t="s">
        <v>353</v>
      </c>
      <c r="D23" s="41" t="s">
        <v>19</v>
      </c>
      <c r="E23" s="42"/>
      <c r="F23" s="43" t="s">
        <v>36</v>
      </c>
      <c r="G23" s="44"/>
      <c r="H23" s="45"/>
      <c r="I23" s="80"/>
      <c r="J23" s="38">
        <v>8500</v>
      </c>
      <c r="K23" s="80"/>
      <c r="L23" s="38"/>
      <c r="M23" s="80"/>
      <c r="N23" s="81"/>
      <c r="O23" s="82"/>
      <c r="P23" s="81"/>
      <c r="Q23" s="91"/>
    </row>
    <row r="24" spans="2:17">
      <c r="B24" s="39">
        <v>46020</v>
      </c>
      <c r="C24" s="47" t="s">
        <v>136</v>
      </c>
      <c r="D24" s="41" t="s">
        <v>19</v>
      </c>
      <c r="E24" s="42" t="s">
        <v>339</v>
      </c>
      <c r="F24" s="43" t="s">
        <v>36</v>
      </c>
      <c r="G24" s="44"/>
      <c r="H24" s="45"/>
      <c r="I24" s="80"/>
      <c r="J24" s="38">
        <v>13817.28</v>
      </c>
      <c r="K24" s="83"/>
      <c r="L24" s="38"/>
      <c r="M24" s="80"/>
      <c r="N24" s="81"/>
      <c r="O24" s="82"/>
      <c r="P24" s="81"/>
      <c r="Q24" s="91"/>
    </row>
    <row r="25" ht="15.15" spans="2:17">
      <c r="B25" s="39"/>
      <c r="C25" s="47"/>
      <c r="D25" s="48"/>
      <c r="E25" s="47"/>
      <c r="F25" s="49"/>
      <c r="G25" s="44"/>
      <c r="H25" s="45"/>
      <c r="I25" s="82"/>
      <c r="J25" s="38"/>
      <c r="K25" s="83"/>
      <c r="L25" s="38"/>
      <c r="M25" s="80"/>
      <c r="N25" s="81"/>
      <c r="O25" s="83"/>
      <c r="P25" s="81"/>
      <c r="Q25" s="80"/>
    </row>
    <row r="26" ht="15.15" spans="2:17">
      <c r="B26" s="50"/>
      <c r="C26" s="51"/>
      <c r="D26" s="52"/>
      <c r="E26" s="53"/>
      <c r="F26" s="52"/>
      <c r="G26" s="54">
        <f t="shared" ref="G26:Q26" si="1">SUM(G8:G25)</f>
        <v>0</v>
      </c>
      <c r="H26" s="55">
        <f t="shared" si="1"/>
        <v>0</v>
      </c>
      <c r="I26" s="84">
        <f t="shared" si="1"/>
        <v>0</v>
      </c>
      <c r="J26" s="85">
        <f t="shared" si="1"/>
        <v>68057.28</v>
      </c>
      <c r="K26" s="86">
        <f t="shared" si="1"/>
        <v>303147.84</v>
      </c>
      <c r="L26" s="87">
        <f t="shared" si="1"/>
        <v>0</v>
      </c>
      <c r="M26" s="88">
        <f t="shared" si="1"/>
        <v>0</v>
      </c>
      <c r="N26" s="89">
        <f t="shared" si="1"/>
        <v>0</v>
      </c>
      <c r="O26" s="89">
        <f t="shared" si="1"/>
        <v>0</v>
      </c>
      <c r="P26" s="55">
        <f t="shared" si="1"/>
        <v>0</v>
      </c>
      <c r="Q26" s="92">
        <f t="shared" si="1"/>
        <v>0</v>
      </c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="2" customFormat="1" spans="1:22">
      <c r="A32" s="6"/>
      <c r="B32" s="3"/>
      <c r="C32"/>
      <c r="D32" s="1"/>
      <c r="E32"/>
      <c r="F32" s="4"/>
      <c r="G32" s="5"/>
      <c r="H32"/>
      <c r="I32" s="6"/>
      <c r="J32" s="1"/>
      <c r="K32" s="1"/>
      <c r="L32" s="1"/>
      <c r="M32" s="1"/>
      <c r="N32" s="1"/>
      <c r="O32" s="1"/>
      <c r="P32" s="7"/>
      <c r="Q32" s="1"/>
      <c r="R32"/>
      <c r="S32"/>
      <c r="T32"/>
      <c r="U32"/>
      <c r="V32"/>
    </row>
  </sheetData>
  <mergeCells count="29"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B4:C4"/>
    <mergeCell ref="D4:E4"/>
    <mergeCell ref="B5:C5"/>
    <mergeCell ref="D5:E5"/>
    <mergeCell ref="C1:C2"/>
    <mergeCell ref="F3:F4"/>
    <mergeCell ref="G3:G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511811024" right="0.511811024" top="0.787401575" bottom="0.787401575" header="0.31496062" footer="0.31496062"/>
  <pageSetup paperSize="9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ATRASADOS</vt:lpstr>
      <vt:lpstr>01. JANEIRO</vt:lpstr>
      <vt:lpstr>02. FEVEREIRO</vt:lpstr>
      <vt:lpstr>03. MARCO</vt:lpstr>
      <vt:lpstr>04. ABRIL</vt:lpstr>
      <vt:lpstr>05. MAIO</vt:lpstr>
      <vt:lpstr>06. JUNHO</vt:lpstr>
      <vt:lpstr>07. JULHO</vt:lpstr>
      <vt:lpstr>08. AGOSTO</vt:lpstr>
      <vt:lpstr>09. SETEMBRO</vt:lpstr>
      <vt:lpstr>10. OUTUBRO</vt:lpstr>
      <vt:lpstr>10. NOVEMBRO</vt:lpstr>
      <vt:lpstr>12. DEZEMBRO</vt:lpstr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Guilherme Borges</dc:creator>
  <cp:lastModifiedBy>ANDRE LERBACH</cp:lastModifiedBy>
  <dcterms:created xsi:type="dcterms:W3CDTF">2023-01-02T03:38:00Z</dcterms:created>
  <cp:lastPrinted>2025-11-17T17:15:00Z</cp:lastPrinted>
  <dcterms:modified xsi:type="dcterms:W3CDTF">2026-02-23T17:23:48Z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E0F3E9DAD6354CEF9ECE9FA6401302A6_12</vt:lpwstr>
  </property>
  <property fmtid="{D5CDD505-2E9C-101B-9397-08002B2CF9AE}" pid="3" name="KSOProductBuildVer">
    <vt:lpwstr>1046-12.2.0.23196</vt:lpwstr>
  </property>
</Properties>
</file>