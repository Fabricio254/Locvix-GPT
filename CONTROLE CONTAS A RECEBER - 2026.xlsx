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NDRE LERBACH\Dropbox\1. LOCVIX - DRIVE\1. W&amp;A LOCAÇÃO DE GUINDASTE - DRIVE\11. DIRETORIA\3. LUCRATIVIDADE LOCVIX\OPERACOES 2026\"/>
    </mc:Choice>
  </mc:AlternateContent>
  <xr:revisionPtr revIDLastSave="0" documentId="13_ncr:1_{2B2062D3-4F10-43DB-8547-18D4817C28E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TRASADOS" sheetId="23" r:id="rId1"/>
    <sheet name="01. JANEIRO" sheetId="25" r:id="rId2"/>
    <sheet name="02. FEVEREIRO" sheetId="13" r:id="rId3"/>
    <sheet name="03. MARCO" sheetId="14" r:id="rId4"/>
    <sheet name="04. ABRIL" sheetId="15" r:id="rId5"/>
    <sheet name="Planilha1" sheetId="19" r:id="rId6"/>
  </sheets>
  <definedNames>
    <definedName name="_xlnm.Print_Area" localSheetId="1">'01. JANEIRO'!$A$1:$Q$34</definedName>
    <definedName name="_xlnm.Print_Area" localSheetId="2">'02. FEVEREIRO'!$A$1:$Q$26</definedName>
    <definedName name="_xlnm.Print_Area" localSheetId="3">'03. MARCO'!$A$1:$Q$30</definedName>
    <definedName name="_xlnm.Print_Area" localSheetId="4">'04. ABRIL'!$A$1:$Q$32</definedName>
    <definedName name="_xlnm.Print_Area" localSheetId="0">ATRASADOS!$A$1:$Q$37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1" i="15" l="1"/>
  <c r="P31" i="15"/>
  <c r="O31" i="15"/>
  <c r="N31" i="15"/>
  <c r="M31" i="15"/>
  <c r="L31" i="15"/>
  <c r="K31" i="15"/>
  <c r="K5" i="15" s="1"/>
  <c r="D3" i="15" s="1"/>
  <c r="F3" i="15" s="1"/>
  <c r="J31" i="15"/>
  <c r="I31" i="15"/>
  <c r="H31" i="15"/>
  <c r="G31" i="15"/>
  <c r="Q5" i="15"/>
  <c r="P5" i="15"/>
  <c r="O5" i="15"/>
  <c r="N5" i="15"/>
  <c r="M5" i="15"/>
  <c r="L5" i="15"/>
  <c r="J5" i="15"/>
  <c r="I5" i="15"/>
  <c r="H5" i="15"/>
  <c r="G5" i="15"/>
  <c r="D5" i="15"/>
  <c r="D4" i="15"/>
  <c r="Q29" i="14"/>
  <c r="Q5" i="14" s="1"/>
  <c r="P29" i="14"/>
  <c r="P5" i="14" s="1"/>
  <c r="O29" i="14"/>
  <c r="O5" i="14" s="1"/>
  <c r="N29" i="14"/>
  <c r="N5" i="14" s="1"/>
  <c r="M29" i="14"/>
  <c r="M5" i="14" s="1"/>
  <c r="L29" i="14"/>
  <c r="L5" i="14" s="1"/>
  <c r="K29" i="14"/>
  <c r="K5" i="14" s="1"/>
  <c r="J29" i="14"/>
  <c r="J5" i="14" s="1"/>
  <c r="I29" i="14"/>
  <c r="I5" i="14" s="1"/>
  <c r="H29" i="14"/>
  <c r="H5" i="14" s="1"/>
  <c r="G29" i="14"/>
  <c r="G5" i="14" s="1"/>
  <c r="D5" i="14" s="1"/>
  <c r="Q25" i="13"/>
  <c r="P25" i="13"/>
  <c r="O25" i="13"/>
  <c r="N25" i="13"/>
  <c r="M25" i="13"/>
  <c r="L25" i="13"/>
  <c r="K25" i="13"/>
  <c r="J25" i="13"/>
  <c r="I25" i="13"/>
  <c r="H25" i="13"/>
  <c r="G25" i="13"/>
  <c r="Q5" i="13"/>
  <c r="P5" i="13"/>
  <c r="O5" i="13"/>
  <c r="N5" i="13"/>
  <c r="M5" i="13"/>
  <c r="L5" i="13"/>
  <c r="K5" i="13"/>
  <c r="J5" i="13"/>
  <c r="I5" i="13"/>
  <c r="H5" i="13"/>
  <c r="G5" i="13"/>
  <c r="D5" i="13"/>
  <c r="D4" i="13"/>
  <c r="F3" i="13"/>
  <c r="D3" i="13"/>
  <c r="Q33" i="25"/>
  <c r="P33" i="25"/>
  <c r="O33" i="25"/>
  <c r="N33" i="25"/>
  <c r="M33" i="25"/>
  <c r="L33" i="25"/>
  <c r="K33" i="25"/>
  <c r="J33" i="25"/>
  <c r="I33" i="25"/>
  <c r="H33" i="25"/>
  <c r="G33" i="25"/>
  <c r="Q5" i="25"/>
  <c r="P5" i="25"/>
  <c r="O5" i="25"/>
  <c r="N5" i="25"/>
  <c r="M5" i="25"/>
  <c r="L5" i="25"/>
  <c r="K5" i="25"/>
  <c r="J5" i="25"/>
  <c r="I5" i="25"/>
  <c r="H5" i="25"/>
  <c r="G5" i="25"/>
  <c r="D5" i="25"/>
  <c r="D4" i="25"/>
  <c r="F3" i="25"/>
  <c r="D3" i="25"/>
  <c r="Q36" i="23"/>
  <c r="P36" i="23"/>
  <c r="O36" i="23"/>
  <c r="N36" i="23"/>
  <c r="M36" i="23"/>
  <c r="L36" i="23"/>
  <c r="K36" i="23"/>
  <c r="J36" i="23"/>
  <c r="I36" i="23"/>
  <c r="H36" i="23"/>
  <c r="G36" i="23"/>
  <c r="Q5" i="23"/>
  <c r="P5" i="23"/>
  <c r="O5" i="23"/>
  <c r="N5" i="23"/>
  <c r="M5" i="23"/>
  <c r="L5" i="23"/>
  <c r="K5" i="23"/>
  <c r="J5" i="23"/>
  <c r="I5" i="23"/>
  <c r="H5" i="23"/>
  <c r="G5" i="23"/>
  <c r="D5" i="23"/>
  <c r="D4" i="23"/>
  <c r="F3" i="23"/>
  <c r="D3" i="23"/>
  <c r="D3" i="14" l="1"/>
  <c r="D4" i="14"/>
  <c r="F3" i="14" l="1"/>
</calcChain>
</file>

<file path=xl/sharedStrings.xml><?xml version="1.0" encoding="utf-8"?>
<sst xmlns="http://schemas.openxmlformats.org/spreadsheetml/2006/main" count="351" uniqueCount="81">
  <si>
    <t>ATRASADOS/2024</t>
  </si>
  <si>
    <t>TOTAL DE RECEBIMENTOS SIMPLES</t>
  </si>
  <si>
    <t>ATRASO</t>
  </si>
  <si>
    <t>SICREDI</t>
  </si>
  <si>
    <t>SICOOB</t>
  </si>
  <si>
    <t>SANTANDER</t>
  </si>
  <si>
    <t>BRADESCO</t>
  </si>
  <si>
    <t>ITAU</t>
  </si>
  <si>
    <t>TOTAL DE RECEBIMENTOS DESCONTADOS</t>
  </si>
  <si>
    <t>DESCONTADO</t>
  </si>
  <si>
    <t>SIMPLES</t>
  </si>
  <si>
    <t>TOTAL DE RECEBIMENTOS EM ATRASO</t>
  </si>
  <si>
    <t>DATA</t>
  </si>
  <si>
    <t>CLIENTE</t>
  </si>
  <si>
    <t>FORMA</t>
  </si>
  <si>
    <t>TIPO</t>
  </si>
  <si>
    <t>SITUAÇÃO</t>
  </si>
  <si>
    <t>ATRASADO</t>
  </si>
  <si>
    <t>MONTO INDUSTRIAL</t>
  </si>
  <si>
    <t>BOLETO</t>
  </si>
  <si>
    <t>NF 001155</t>
  </si>
  <si>
    <t>A VENCER</t>
  </si>
  <si>
    <t>NF 001152</t>
  </si>
  <si>
    <t>NF 001154</t>
  </si>
  <si>
    <t>JAQUELINE SILVA (FENIX)</t>
  </si>
  <si>
    <t>NF 01149</t>
  </si>
  <si>
    <t>RO 01149-06</t>
  </si>
  <si>
    <t>JAQUELINE SILVA NASCIMENTO GRECHI - FENIX TRANSPORTES</t>
  </si>
  <si>
    <t>RE 001158006</t>
  </si>
  <si>
    <t>NF 001158</t>
  </si>
  <si>
    <t>RE 001169-06</t>
  </si>
  <si>
    <t>NF 001169</t>
  </si>
  <si>
    <t>PRE METAL REFORMAS</t>
  </si>
  <si>
    <t>RE 1149-05</t>
  </si>
  <si>
    <t>JANEIRO/2026</t>
  </si>
  <si>
    <t>MGV ENGENHARIA</t>
  </si>
  <si>
    <t>NF 0104</t>
  </si>
  <si>
    <t>PAGO</t>
  </si>
  <si>
    <t>ENGESAN</t>
  </si>
  <si>
    <t>NF 131</t>
  </si>
  <si>
    <t>M3LOG SPE</t>
  </si>
  <si>
    <t>NF 132</t>
  </si>
  <si>
    <t>AD ASTRA</t>
  </si>
  <si>
    <t>HEXACONECT</t>
  </si>
  <si>
    <t>REDE</t>
  </si>
  <si>
    <t>NF 138</t>
  </si>
  <si>
    <t>RE 138-12</t>
  </si>
  <si>
    <t>NF 137</t>
  </si>
  <si>
    <t>RE 137-12</t>
  </si>
  <si>
    <t>NF 136</t>
  </si>
  <si>
    <t>RE 136-12</t>
  </si>
  <si>
    <t>ESTEL</t>
  </si>
  <si>
    <t>DEPOSITO</t>
  </si>
  <si>
    <t>CAMPO PARTICIPACOES</t>
  </si>
  <si>
    <t>NF 07</t>
  </si>
  <si>
    <t>COBRA</t>
  </si>
  <si>
    <t>NF 001</t>
  </si>
  <si>
    <t>MAMOTEC (GJ)</t>
  </si>
  <si>
    <t>REDE(GJ)</t>
  </si>
  <si>
    <t>CAMPO PARTICIPACAO (GJ)</t>
  </si>
  <si>
    <t>COBRA (GJ)</t>
  </si>
  <si>
    <t>VETOR</t>
  </si>
  <si>
    <t>PBA</t>
  </si>
  <si>
    <t>MARÇO/2024</t>
  </si>
  <si>
    <t>MPLOG (GJ)</t>
  </si>
  <si>
    <t>MGE</t>
  </si>
  <si>
    <t>CAMPO PARTICIPACAO</t>
  </si>
  <si>
    <t>FEVEREIRO/2026</t>
  </si>
  <si>
    <t>ABRIL/2026</t>
  </si>
  <si>
    <t>RE 0027-26</t>
  </si>
  <si>
    <t>RE 0028-26</t>
  </si>
  <si>
    <t>CLIENTE WESLEY</t>
  </si>
  <si>
    <t>A VISTA</t>
  </si>
  <si>
    <t>NF 022</t>
  </si>
  <si>
    <t>UMISAN</t>
  </si>
  <si>
    <t>RE 001</t>
  </si>
  <si>
    <t>RE 002</t>
  </si>
  <si>
    <t>RE 003</t>
  </si>
  <si>
    <t>PCP</t>
  </si>
  <si>
    <t>RONIELY</t>
  </si>
  <si>
    <t>BCP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</si>
</sst>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;@"/>
    <numFmt numFmtId="165" formatCode="&quot;R$&quot;\ #,##0.00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u/>
      <sz val="26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4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3"/>
      <name val="Calibri"/>
      <charset val="134"/>
      <scheme val="minor"/>
    </font>
    <font>
      <b/>
      <sz val="10"/>
      <color theme="9"/>
      <name val="Calibri"/>
      <charset val="134"/>
      <scheme val="minor"/>
    </font>
    <font>
      <b/>
      <sz val="10"/>
      <color rgb="FF0070C0"/>
      <name val="Calibri"/>
      <charset val="134"/>
      <scheme val="minor"/>
    </font>
    <font>
      <b/>
      <sz val="10"/>
      <color rgb="FF00B05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2"/>
      <name val="Calibri"/>
      <charset val="134"/>
    </font>
    <font>
      <b/>
      <sz val="10"/>
      <color rgb="FFFF0000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9" fillId="0" borderId="0"/>
  </cellStyleXfs>
  <cellXfs count="12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5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5" fontId="7" fillId="6" borderId="10" xfId="0" applyNumberFormat="1" applyFont="1" applyFill="1" applyBorder="1" applyAlignment="1">
      <alignment horizontal="center"/>
    </xf>
    <xf numFmtId="164" fontId="1" fillId="9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165" fontId="9" fillId="8" borderId="6" xfId="0" applyNumberFormat="1" applyFont="1" applyFill="1" applyBorder="1" applyAlignment="1">
      <alignment horizontal="center"/>
    </xf>
    <xf numFmtId="164" fontId="10" fillId="0" borderId="6" xfId="1" applyNumberFormat="1" applyFont="1" applyBorder="1" applyAlignment="1">
      <alignment horizontal="center"/>
    </xf>
    <xf numFmtId="0" fontId="10" fillId="0" borderId="18" xfId="0" applyFont="1" applyBorder="1" applyAlignment="1">
      <alignment horizontal="left"/>
    </xf>
    <xf numFmtId="0" fontId="10" fillId="2" borderId="6" xfId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left"/>
    </xf>
    <xf numFmtId="165" fontId="10" fillId="8" borderId="6" xfId="0" applyNumberFormat="1" applyFont="1" applyFill="1" applyBorder="1" applyAlignment="1">
      <alignment horizontal="center"/>
    </xf>
    <xf numFmtId="0" fontId="10" fillId="5" borderId="18" xfId="0" applyFont="1" applyFill="1" applyBorder="1" applyAlignment="1">
      <alignment horizontal="left"/>
    </xf>
    <xf numFmtId="0" fontId="10" fillId="2" borderId="18" xfId="0" applyFont="1" applyFill="1" applyBorder="1" applyAlignment="1">
      <alignment horizontal="left"/>
    </xf>
    <xf numFmtId="0" fontId="10" fillId="2" borderId="6" xfId="1" applyFont="1" applyFill="1" applyBorder="1" applyAlignment="1">
      <alignment horizontal="center" vertical="center"/>
    </xf>
    <xf numFmtId="165" fontId="13" fillId="8" borderId="6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14" fontId="6" fillId="2" borderId="0" xfId="0" applyNumberFormat="1" applyFont="1" applyFill="1" applyAlignment="1">
      <alignment horizontal="left"/>
    </xf>
    <xf numFmtId="14" fontId="6" fillId="2" borderId="0" xfId="0" applyNumberFormat="1" applyFont="1" applyFill="1" applyAlignment="1">
      <alignment horizontal="center"/>
    </xf>
    <xf numFmtId="14" fontId="6" fillId="2" borderId="0" xfId="0" applyNumberFormat="1" applyFont="1" applyFill="1"/>
    <xf numFmtId="165" fontId="6" fillId="5" borderId="6" xfId="0" applyNumberFormat="1" applyFont="1" applyFill="1" applyBorder="1" applyAlignment="1">
      <alignment horizontal="center"/>
    </xf>
    <xf numFmtId="165" fontId="6" fillId="2" borderId="19" xfId="0" applyNumberFormat="1" applyFont="1" applyFill="1" applyBorder="1" applyAlignment="1">
      <alignment horizontal="center"/>
    </xf>
    <xf numFmtId="0" fontId="3" fillId="2" borderId="0" xfId="0" applyFont="1" applyFill="1"/>
    <xf numFmtId="165" fontId="0" fillId="2" borderId="0" xfId="0" applyNumberFormat="1" applyFill="1" applyAlignment="1">
      <alignment horizontal="left"/>
    </xf>
    <xf numFmtId="0" fontId="8" fillId="2" borderId="0" xfId="0" applyFont="1" applyFill="1" applyAlignment="1">
      <alignment horizontal="center"/>
    </xf>
    <xf numFmtId="0" fontId="9" fillId="6" borderId="21" xfId="0" applyFont="1" applyFill="1" applyBorder="1" applyAlignment="1">
      <alignment horizontal="center" wrapText="1"/>
    </xf>
    <xf numFmtId="165" fontId="7" fillId="10" borderId="10" xfId="0" applyNumberFormat="1" applyFont="1" applyFill="1" applyBorder="1" applyAlignment="1">
      <alignment horizontal="center"/>
    </xf>
    <xf numFmtId="0" fontId="7" fillId="10" borderId="21" xfId="0" applyFont="1" applyFill="1" applyBorder="1" applyAlignment="1">
      <alignment horizontal="center" wrapText="1"/>
    </xf>
    <xf numFmtId="165" fontId="7" fillId="11" borderId="10" xfId="0" applyNumberFormat="1" applyFont="1" applyFill="1" applyBorder="1" applyAlignment="1">
      <alignment horizontal="center"/>
    </xf>
    <xf numFmtId="0" fontId="7" fillId="11" borderId="21" xfId="0" applyFont="1" applyFill="1" applyBorder="1" applyAlignment="1">
      <alignment horizontal="center" wrapText="1"/>
    </xf>
    <xf numFmtId="165" fontId="7" fillId="12" borderId="22" xfId="0" applyNumberFormat="1" applyFont="1" applyFill="1" applyBorder="1" applyAlignment="1">
      <alignment horizontal="center"/>
    </xf>
    <xf numFmtId="0" fontId="7" fillId="12" borderId="21" xfId="0" applyFont="1" applyFill="1" applyBorder="1" applyAlignment="1">
      <alignment horizontal="center" wrapText="1"/>
    </xf>
    <xf numFmtId="165" fontId="7" fillId="13" borderId="10" xfId="0" applyNumberFormat="1" applyFont="1" applyFill="1" applyBorder="1" applyAlignment="1">
      <alignment horizontal="center"/>
    </xf>
    <xf numFmtId="0" fontId="7" fillId="14" borderId="6" xfId="0" applyFont="1" applyFill="1" applyBorder="1" applyAlignment="1">
      <alignment horizontal="center" wrapText="1"/>
    </xf>
    <xf numFmtId="165" fontId="10" fillId="14" borderId="6" xfId="0" applyNumberFormat="1" applyFont="1" applyFill="1" applyBorder="1" applyAlignment="1">
      <alignment horizontal="center"/>
    </xf>
    <xf numFmtId="165" fontId="10" fillId="8" borderId="6" xfId="0" applyNumberFormat="1" applyFont="1" applyFill="1" applyBorder="1" applyAlignment="1">
      <alignment horizontal="left"/>
    </xf>
    <xf numFmtId="165" fontId="12" fillId="14" borderId="6" xfId="0" applyNumberFormat="1" applyFont="1" applyFill="1" applyBorder="1" applyAlignment="1">
      <alignment horizontal="left"/>
    </xf>
    <xf numFmtId="165" fontId="8" fillId="2" borderId="25" xfId="0" applyNumberFormat="1" applyFont="1" applyFill="1" applyBorder="1" applyAlignment="1">
      <alignment horizontal="center"/>
    </xf>
    <xf numFmtId="165" fontId="6" fillId="14" borderId="19" xfId="0" applyNumberFormat="1" applyFont="1" applyFill="1" applyBorder="1" applyAlignment="1">
      <alignment horizontal="center"/>
    </xf>
    <xf numFmtId="165" fontId="6" fillId="14" borderId="25" xfId="0" applyNumberFormat="1" applyFont="1" applyFill="1" applyBorder="1" applyAlignment="1">
      <alignment horizontal="center"/>
    </xf>
    <xf numFmtId="165" fontId="6" fillId="11" borderId="19" xfId="0" applyNumberFormat="1" applyFont="1" applyFill="1" applyBorder="1" applyAlignment="1">
      <alignment horizontal="center"/>
    </xf>
    <xf numFmtId="165" fontId="6" fillId="11" borderId="25" xfId="0" applyNumberFormat="1" applyFont="1" applyFill="1" applyBorder="1" applyAlignment="1">
      <alignment horizontal="center"/>
    </xf>
    <xf numFmtId="165" fontId="6" fillId="15" borderId="25" xfId="0" applyNumberFormat="1" applyFont="1" applyFill="1" applyBorder="1" applyAlignment="1">
      <alignment horizontal="center"/>
    </xf>
    <xf numFmtId="0" fontId="7" fillId="13" borderId="21" xfId="0" applyFont="1" applyFill="1" applyBorder="1" applyAlignment="1">
      <alignment horizontal="center" wrapText="1"/>
    </xf>
    <xf numFmtId="165" fontId="10" fillId="14" borderId="6" xfId="0" applyNumberFormat="1" applyFont="1" applyFill="1" applyBorder="1" applyAlignment="1">
      <alignment horizontal="center" vertical="center"/>
    </xf>
    <xf numFmtId="165" fontId="6" fillId="2" borderId="25" xfId="0" applyNumberFormat="1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2" fillId="8" borderId="6" xfId="0" applyNumberFormat="1" applyFont="1" applyFill="1" applyBorder="1" applyAlignment="1">
      <alignment horizontal="left"/>
    </xf>
    <xf numFmtId="0" fontId="10" fillId="2" borderId="18" xfId="1" applyFont="1" applyFill="1" applyBorder="1" applyAlignment="1">
      <alignment horizontal="center" vertical="center"/>
    </xf>
    <xf numFmtId="165" fontId="12" fillId="8" borderId="6" xfId="0" applyNumberFormat="1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164" fontId="10" fillId="0" borderId="6" xfId="1" applyNumberFormat="1" applyFont="1" applyBorder="1" applyAlignment="1">
      <alignment horizontal="left"/>
    </xf>
    <xf numFmtId="0" fontId="16" fillId="7" borderId="6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/>
    </xf>
    <xf numFmtId="165" fontId="10" fillId="14" borderId="6" xfId="0" applyNumberFormat="1" applyFont="1" applyFill="1" applyBorder="1" applyAlignment="1">
      <alignment horizontal="left"/>
    </xf>
    <xf numFmtId="165" fontId="18" fillId="8" borderId="6" xfId="0" applyNumberFormat="1" applyFont="1" applyFill="1" applyBorder="1" applyAlignment="1">
      <alignment horizontal="center"/>
    </xf>
    <xf numFmtId="165" fontId="12" fillId="14" borderId="6" xfId="0" applyNumberFormat="1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left"/>
    </xf>
    <xf numFmtId="0" fontId="10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left"/>
    </xf>
    <xf numFmtId="0" fontId="12" fillId="2" borderId="6" xfId="1" applyFont="1" applyFill="1" applyBorder="1" applyAlignment="1">
      <alignment horizontal="center"/>
    </xf>
    <xf numFmtId="0" fontId="12" fillId="2" borderId="18" xfId="1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/>
    </xf>
    <xf numFmtId="165" fontId="13" fillId="14" borderId="6" xfId="0" applyNumberFormat="1" applyFont="1" applyFill="1" applyBorder="1" applyAlignment="1">
      <alignment horizontal="left"/>
    </xf>
    <xf numFmtId="0" fontId="12" fillId="2" borderId="6" xfId="0" applyFont="1" applyFill="1" applyBorder="1"/>
    <xf numFmtId="164" fontId="12" fillId="0" borderId="6" xfId="1" applyNumberFormat="1" applyFont="1" applyBorder="1" applyAlignment="1">
      <alignment horizontal="center"/>
    </xf>
    <xf numFmtId="0" fontId="10" fillId="2" borderId="18" xfId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/>
    <xf numFmtId="0" fontId="20" fillId="7" borderId="6" xfId="0" applyFont="1" applyFill="1" applyBorder="1" applyAlignment="1">
      <alignment horizontal="center"/>
    </xf>
    <xf numFmtId="0" fontId="22" fillId="7" borderId="6" xfId="0" applyFont="1" applyFill="1" applyBorder="1" applyAlignment="1">
      <alignment horizontal="center"/>
    </xf>
    <xf numFmtId="165" fontId="23" fillId="14" borderId="6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165" fontId="1" fillId="3" borderId="2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65" fontId="7" fillId="6" borderId="6" xfId="0" applyNumberFormat="1" applyFont="1" applyFill="1" applyBorder="1" applyAlignment="1">
      <alignment horizontal="center"/>
    </xf>
    <xf numFmtId="165" fontId="7" fillId="10" borderId="6" xfId="0" applyNumberFormat="1" applyFont="1" applyFill="1" applyBorder="1" applyAlignment="1">
      <alignment horizontal="center"/>
    </xf>
    <xf numFmtId="165" fontId="7" fillId="11" borderId="6" xfId="0" applyNumberFormat="1" applyFont="1" applyFill="1" applyBorder="1" applyAlignment="1">
      <alignment horizontal="center"/>
    </xf>
    <xf numFmtId="165" fontId="7" fillId="12" borderId="18" xfId="0" applyNumberFormat="1" applyFont="1" applyFill="1" applyBorder="1" applyAlignment="1">
      <alignment horizontal="center"/>
    </xf>
    <xf numFmtId="165" fontId="7" fillId="12" borderId="5" xfId="0" applyNumberFormat="1" applyFont="1" applyFill="1" applyBorder="1" applyAlignment="1">
      <alignment horizontal="center"/>
    </xf>
    <xf numFmtId="165" fontId="7" fillId="13" borderId="6" xfId="0" applyNumberFormat="1" applyFont="1" applyFill="1" applyBorder="1" applyAlignment="1">
      <alignment horizontal="center"/>
    </xf>
    <xf numFmtId="165" fontId="5" fillId="4" borderId="4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/>
    </xf>
    <xf numFmtId="0" fontId="1" fillId="7" borderId="6" xfId="0" applyFont="1" applyFill="1" applyBorder="1" applyAlignment="1">
      <alignment horizontal="left"/>
    </xf>
    <xf numFmtId="165" fontId="1" fillId="7" borderId="6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left"/>
    </xf>
    <xf numFmtId="0" fontId="6" fillId="5" borderId="12" xfId="0" applyFont="1" applyFill="1" applyBorder="1" applyAlignment="1">
      <alignment horizontal="left"/>
    </xf>
    <xf numFmtId="165" fontId="6" fillId="5" borderId="12" xfId="0" applyNumberFormat="1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165" fontId="6" fillId="5" borderId="14" xfId="0" applyNumberFormat="1" applyFont="1" applyFill="1" applyBorder="1" applyAlignment="1">
      <alignment horizontal="center" vertical="center"/>
    </xf>
    <xf numFmtId="165" fontId="6" fillId="5" borderId="16" xfId="0" applyNumberFormat="1" applyFont="1" applyFill="1" applyBorder="1" applyAlignment="1">
      <alignment horizontal="center" vertical="center"/>
    </xf>
    <xf numFmtId="165" fontId="8" fillId="8" borderId="15" xfId="0" applyNumberFormat="1" applyFont="1" applyFill="1" applyBorder="1" applyAlignment="1">
      <alignment horizontal="center" vertical="center"/>
    </xf>
    <xf numFmtId="165" fontId="8" fillId="8" borderId="17" xfId="0" applyNumberFormat="1" applyFont="1" applyFill="1" applyBorder="1" applyAlignment="1">
      <alignment horizontal="center" vertical="center"/>
    </xf>
    <xf numFmtId="165" fontId="8" fillId="14" borderId="14" xfId="0" applyNumberFormat="1" applyFont="1" applyFill="1" applyBorder="1" applyAlignment="1">
      <alignment horizontal="center" vertical="center"/>
    </xf>
    <xf numFmtId="165" fontId="8" fillId="14" borderId="16" xfId="0" applyNumberFormat="1" applyFont="1" applyFill="1" applyBorder="1" applyAlignment="1">
      <alignment horizontal="center" vertical="center"/>
    </xf>
    <xf numFmtId="165" fontId="8" fillId="8" borderId="14" xfId="0" applyNumberFormat="1" applyFont="1" applyFill="1" applyBorder="1" applyAlignment="1">
      <alignment horizontal="center" vertical="center"/>
    </xf>
    <xf numFmtId="165" fontId="8" fillId="8" borderId="16" xfId="0" applyNumberFormat="1" applyFont="1" applyFill="1" applyBorder="1" applyAlignment="1">
      <alignment horizontal="center" vertical="center"/>
    </xf>
    <xf numFmtId="165" fontId="8" fillId="14" borderId="23" xfId="0" applyNumberFormat="1" applyFont="1" applyFill="1" applyBorder="1" applyAlignment="1">
      <alignment horizontal="center" vertical="center"/>
    </xf>
    <xf numFmtId="165" fontId="8" fillId="14" borderId="24" xfId="0" applyNumberFormat="1" applyFont="1" applyFill="1" applyBorder="1" applyAlignment="1">
      <alignment horizontal="center" vertical="center"/>
    </xf>
    <xf numFmtId="49" fontId="21" fillId="2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85F276"/>
      <color rgb="FF9FF593"/>
      <color rgb="FF1670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V42"/>
  <sheetViews>
    <sheetView zoomScale="90" zoomScaleNormal="90" workbookViewId="0">
      <pane xSplit="5" ySplit="7" topLeftCell="F8" activePane="bottomRight" state="frozen"/>
      <selection pane="topRight"/>
      <selection pane="bottomLeft"/>
      <selection pane="bottomRight" activeCell="C23" sqref="C23"/>
    </sheetView>
  </sheetViews>
  <sheetFormatPr defaultColWidth="9" defaultRowHeight="14.4"/>
  <cols>
    <col min="1" max="1" width="1.33203125" customWidth="1"/>
    <col min="2" max="2" width="5.6640625" style="3" customWidth="1"/>
    <col min="3" max="3" width="53.5546875" customWidth="1"/>
    <col min="4" max="4" width="8.44140625" style="1" customWidth="1"/>
    <col min="5" max="5" width="10.44140625" customWidth="1"/>
    <col min="6" max="6" width="18.44140625" style="4" customWidth="1"/>
    <col min="7" max="7" width="12.88671875" style="5" customWidth="1"/>
    <col min="8" max="8" width="17.6640625" customWidth="1"/>
    <col min="9" max="9" width="17.109375" style="6" customWidth="1"/>
    <col min="10" max="10" width="14.33203125" style="1" customWidth="1"/>
    <col min="11" max="11" width="19.109375" style="1" customWidth="1"/>
    <col min="12" max="12" width="11.6640625" style="1" customWidth="1"/>
    <col min="13" max="13" width="15.6640625" style="1" customWidth="1"/>
    <col min="14" max="14" width="13.6640625" style="1" customWidth="1"/>
    <col min="15" max="15" width="17.109375" style="1" customWidth="1"/>
    <col min="16" max="16" width="11.6640625" style="7" customWidth="1"/>
    <col min="17" max="17" width="22.33203125" style="1" customWidth="1"/>
    <col min="18" max="18" width="2.44140625" customWidth="1"/>
  </cols>
  <sheetData>
    <row r="1" spans="2:17">
      <c r="B1" s="8"/>
      <c r="C1" s="109" t="s">
        <v>0</v>
      </c>
      <c r="D1" s="9"/>
      <c r="E1" s="10"/>
      <c r="F1" s="11"/>
      <c r="G1" s="12"/>
      <c r="H1" s="10"/>
      <c r="I1" s="35"/>
      <c r="J1" s="9"/>
      <c r="K1" s="9"/>
      <c r="L1" s="9"/>
      <c r="M1" s="9"/>
      <c r="N1" s="9"/>
      <c r="O1" s="9"/>
      <c r="P1" s="36"/>
      <c r="Q1" s="9"/>
    </row>
    <row r="2" spans="2:17">
      <c r="B2" s="8"/>
      <c r="C2" s="109"/>
      <c r="D2" s="9"/>
      <c r="E2" s="10"/>
      <c r="F2" s="11"/>
      <c r="G2" s="12"/>
      <c r="H2" s="11"/>
      <c r="I2" s="37"/>
      <c r="J2" s="86"/>
      <c r="K2" s="86"/>
      <c r="L2" s="86"/>
      <c r="M2" s="86"/>
      <c r="N2" s="87"/>
      <c r="O2" s="87"/>
      <c r="P2" s="86"/>
      <c r="Q2" s="86"/>
    </row>
    <row r="3" spans="2:17">
      <c r="B3" s="88" t="s">
        <v>1</v>
      </c>
      <c r="C3" s="89"/>
      <c r="D3" s="90">
        <f>I5+K5+M5+O5+Q5</f>
        <v>139976.74</v>
      </c>
      <c r="E3" s="91"/>
      <c r="F3" s="98">
        <f>D3+D4</f>
        <v>304331.05</v>
      </c>
      <c r="G3" s="100" t="s">
        <v>2</v>
      </c>
      <c r="H3" s="92" t="s">
        <v>3</v>
      </c>
      <c r="I3" s="92"/>
      <c r="J3" s="93" t="s">
        <v>4</v>
      </c>
      <c r="K3" s="93"/>
      <c r="L3" s="94" t="s">
        <v>5</v>
      </c>
      <c r="M3" s="94"/>
      <c r="N3" s="95" t="s">
        <v>6</v>
      </c>
      <c r="O3" s="96"/>
      <c r="P3" s="97" t="s">
        <v>7</v>
      </c>
      <c r="Q3" s="97"/>
    </row>
    <row r="4" spans="2:17">
      <c r="B4" s="101" t="s">
        <v>8</v>
      </c>
      <c r="C4" s="102"/>
      <c r="D4" s="103">
        <f>H5+J5+L5+N5+P5</f>
        <v>164354.31</v>
      </c>
      <c r="E4" s="104"/>
      <c r="F4" s="99"/>
      <c r="G4" s="100"/>
      <c r="H4" s="13" t="s">
        <v>9</v>
      </c>
      <c r="I4" s="38" t="s">
        <v>10</v>
      </c>
      <c r="J4" s="39" t="s">
        <v>9</v>
      </c>
      <c r="K4" s="40" t="s">
        <v>10</v>
      </c>
      <c r="L4" s="41" t="s">
        <v>9</v>
      </c>
      <c r="M4" s="42" t="s">
        <v>10</v>
      </c>
      <c r="N4" s="43" t="s">
        <v>9</v>
      </c>
      <c r="O4" s="44" t="s">
        <v>10</v>
      </c>
      <c r="P4" s="45" t="s">
        <v>9</v>
      </c>
      <c r="Q4" s="56" t="s">
        <v>10</v>
      </c>
    </row>
    <row r="5" spans="2:17">
      <c r="B5" s="105" t="s">
        <v>11</v>
      </c>
      <c r="C5" s="106"/>
      <c r="D5" s="107">
        <f>G5</f>
        <v>0</v>
      </c>
      <c r="E5" s="108"/>
      <c r="F5" s="11"/>
      <c r="G5" s="110">
        <f t="shared" ref="G5:Q5" si="0">G36</f>
        <v>0</v>
      </c>
      <c r="H5" s="112">
        <f t="shared" si="0"/>
        <v>16878.32</v>
      </c>
      <c r="I5" s="114">
        <f t="shared" si="0"/>
        <v>139976.74</v>
      </c>
      <c r="J5" s="112">
        <f t="shared" si="0"/>
        <v>48500.52</v>
      </c>
      <c r="K5" s="114">
        <f t="shared" si="0"/>
        <v>0</v>
      </c>
      <c r="L5" s="112">
        <f t="shared" si="0"/>
        <v>0</v>
      </c>
      <c r="M5" s="114">
        <f t="shared" si="0"/>
        <v>0</v>
      </c>
      <c r="N5" s="116">
        <f t="shared" si="0"/>
        <v>98975.47</v>
      </c>
      <c r="O5" s="118">
        <f t="shared" si="0"/>
        <v>0</v>
      </c>
      <c r="P5" s="112">
        <f t="shared" si="0"/>
        <v>0</v>
      </c>
      <c r="Q5" s="114">
        <f t="shared" si="0"/>
        <v>0</v>
      </c>
    </row>
    <row r="6" spans="2:17" s="1" customFormat="1" ht="4.5" customHeight="1">
      <c r="B6" s="8"/>
      <c r="C6" s="9"/>
      <c r="D6" s="9"/>
      <c r="E6" s="10"/>
      <c r="F6" s="11"/>
      <c r="G6" s="111"/>
      <c r="H6" s="113"/>
      <c r="I6" s="115"/>
      <c r="J6" s="113"/>
      <c r="K6" s="115"/>
      <c r="L6" s="113"/>
      <c r="M6" s="115"/>
      <c r="N6" s="117"/>
      <c r="O6" s="119"/>
      <c r="P6" s="113"/>
      <c r="Q6" s="115"/>
    </row>
    <row r="7" spans="2:17" s="1" customFormat="1">
      <c r="B7" s="14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6" t="s">
        <v>17</v>
      </c>
      <c r="H7" s="17" t="s">
        <v>9</v>
      </c>
      <c r="I7" s="46" t="s">
        <v>10</v>
      </c>
      <c r="J7" s="17" t="s">
        <v>9</v>
      </c>
      <c r="K7" s="46" t="s">
        <v>10</v>
      </c>
      <c r="L7" s="17" t="s">
        <v>9</v>
      </c>
      <c r="M7" s="46" t="s">
        <v>10</v>
      </c>
      <c r="N7" s="17" t="s">
        <v>9</v>
      </c>
      <c r="O7" s="46" t="s">
        <v>10</v>
      </c>
      <c r="P7" s="17" t="s">
        <v>9</v>
      </c>
      <c r="Q7" s="46" t="s">
        <v>10</v>
      </c>
    </row>
    <row r="8" spans="2:17">
      <c r="B8" s="18">
        <v>45477</v>
      </c>
      <c r="C8" s="73" t="s">
        <v>18</v>
      </c>
      <c r="D8" s="20" t="s">
        <v>19</v>
      </c>
      <c r="E8" s="21" t="s">
        <v>20</v>
      </c>
      <c r="F8" s="63" t="s">
        <v>21</v>
      </c>
      <c r="G8" s="23"/>
      <c r="H8" s="24"/>
      <c r="I8" s="47">
        <v>23508.39</v>
      </c>
      <c r="J8" s="17"/>
      <c r="K8" s="67"/>
      <c r="L8" s="17"/>
      <c r="M8" s="47"/>
      <c r="N8" s="48"/>
      <c r="O8" s="49"/>
      <c r="P8" s="48"/>
      <c r="Q8" s="57"/>
    </row>
    <row r="9" spans="2:17">
      <c r="B9" s="18">
        <v>45477</v>
      </c>
      <c r="C9" s="73" t="s">
        <v>18</v>
      </c>
      <c r="D9" s="20" t="s">
        <v>19</v>
      </c>
      <c r="E9" s="21" t="s">
        <v>22</v>
      </c>
      <c r="F9" s="63" t="s">
        <v>21</v>
      </c>
      <c r="G9" s="23"/>
      <c r="H9" s="24"/>
      <c r="I9" s="47">
        <v>34117.25</v>
      </c>
      <c r="J9" s="17"/>
      <c r="K9" s="67"/>
      <c r="L9" s="17"/>
      <c r="M9" s="47"/>
      <c r="N9" s="48"/>
      <c r="O9" s="49"/>
      <c r="P9" s="48"/>
      <c r="Q9" s="57"/>
    </row>
    <row r="10" spans="2:17">
      <c r="B10" s="18">
        <v>45477</v>
      </c>
      <c r="C10" s="73" t="s">
        <v>18</v>
      </c>
      <c r="D10" s="20" t="s">
        <v>19</v>
      </c>
      <c r="E10" s="21" t="s">
        <v>23</v>
      </c>
      <c r="F10" s="63" t="s">
        <v>21</v>
      </c>
      <c r="G10" s="23"/>
      <c r="H10" s="24"/>
      <c r="I10" s="47">
        <v>38942.199999999997</v>
      </c>
      <c r="J10" s="17"/>
      <c r="K10" s="67"/>
      <c r="L10" s="17"/>
      <c r="M10" s="47"/>
      <c r="N10" s="48"/>
      <c r="O10" s="49"/>
      <c r="P10" s="48"/>
      <c r="Q10" s="57"/>
    </row>
    <row r="11" spans="2:17">
      <c r="B11" s="18">
        <v>45496</v>
      </c>
      <c r="C11" s="73" t="s">
        <v>24</v>
      </c>
      <c r="D11" s="20" t="s">
        <v>19</v>
      </c>
      <c r="E11" s="21" t="s">
        <v>25</v>
      </c>
      <c r="F11" s="66" t="s">
        <v>21</v>
      </c>
      <c r="G11" s="23"/>
      <c r="H11" s="24"/>
      <c r="I11" s="47"/>
      <c r="J11" s="17">
        <v>2425.0300000000002</v>
      </c>
      <c r="K11" s="67"/>
      <c r="L11" s="17"/>
      <c r="M11" s="47"/>
      <c r="N11" s="48"/>
      <c r="O11" s="49"/>
      <c r="P11" s="48"/>
      <c r="Q11" s="57"/>
    </row>
    <row r="12" spans="2:17">
      <c r="B12" s="18">
        <v>45496</v>
      </c>
      <c r="C12" s="73" t="s">
        <v>24</v>
      </c>
      <c r="D12" s="20" t="s">
        <v>19</v>
      </c>
      <c r="E12" s="21" t="s">
        <v>26</v>
      </c>
      <c r="F12" s="66" t="s">
        <v>21</v>
      </c>
      <c r="G12" s="23"/>
      <c r="H12" s="24"/>
      <c r="I12" s="47"/>
      <c r="J12" s="17">
        <v>46075.49</v>
      </c>
      <c r="K12" s="67"/>
      <c r="L12" s="17"/>
      <c r="M12" s="47"/>
      <c r="N12" s="48"/>
      <c r="O12" s="49"/>
      <c r="P12" s="48"/>
      <c r="Q12" s="57"/>
    </row>
    <row r="13" spans="2:17">
      <c r="B13" s="18">
        <v>45505</v>
      </c>
      <c r="C13" s="73" t="s">
        <v>27</v>
      </c>
      <c r="D13" s="20" t="s">
        <v>19</v>
      </c>
      <c r="E13" s="21" t="s">
        <v>28</v>
      </c>
      <c r="F13" s="63" t="s">
        <v>21</v>
      </c>
      <c r="G13" s="23"/>
      <c r="H13" s="24">
        <v>14634.18</v>
      </c>
      <c r="I13" s="47"/>
      <c r="J13" s="17"/>
      <c r="K13" s="67"/>
      <c r="L13" s="17"/>
      <c r="M13" s="47"/>
      <c r="N13" s="48"/>
      <c r="O13" s="49"/>
      <c r="P13" s="48"/>
      <c r="Q13" s="57"/>
    </row>
    <row r="14" spans="2:17">
      <c r="B14" s="18">
        <v>45505</v>
      </c>
      <c r="C14" s="73" t="s">
        <v>27</v>
      </c>
      <c r="D14" s="20" t="s">
        <v>19</v>
      </c>
      <c r="E14" s="21" t="s">
        <v>29</v>
      </c>
      <c r="F14" s="63" t="s">
        <v>21</v>
      </c>
      <c r="G14" s="23"/>
      <c r="H14" s="24"/>
      <c r="I14" s="47">
        <v>770.22</v>
      </c>
      <c r="J14" s="17"/>
      <c r="K14" s="67"/>
      <c r="L14" s="17"/>
      <c r="M14" s="47"/>
      <c r="N14" s="48"/>
      <c r="O14" s="49"/>
      <c r="P14" s="48"/>
      <c r="Q14" s="57"/>
    </row>
    <row r="15" spans="2:17">
      <c r="B15" s="18">
        <v>45523</v>
      </c>
      <c r="C15" s="73" t="s">
        <v>27</v>
      </c>
      <c r="D15" s="20" t="s">
        <v>19</v>
      </c>
      <c r="E15" s="21" t="s">
        <v>30</v>
      </c>
      <c r="F15" s="66" t="s">
        <v>21</v>
      </c>
      <c r="G15" s="23"/>
      <c r="H15" s="24"/>
      <c r="I15" s="47">
        <v>42638.68</v>
      </c>
      <c r="J15" s="17"/>
      <c r="K15" s="67"/>
      <c r="L15" s="17"/>
      <c r="M15" s="47"/>
      <c r="N15" s="48"/>
      <c r="O15" s="49"/>
      <c r="P15" s="48"/>
      <c r="Q15" s="57"/>
    </row>
    <row r="16" spans="2:17">
      <c r="B16" s="18">
        <v>45523</v>
      </c>
      <c r="C16" s="73" t="s">
        <v>27</v>
      </c>
      <c r="D16" s="20" t="s">
        <v>19</v>
      </c>
      <c r="E16" s="21" t="s">
        <v>31</v>
      </c>
      <c r="F16" s="66" t="s">
        <v>21</v>
      </c>
      <c r="G16" s="23"/>
      <c r="H16" s="24">
        <v>2244.14</v>
      </c>
      <c r="I16" s="47"/>
      <c r="J16" s="17"/>
      <c r="K16" s="67"/>
      <c r="L16" s="17"/>
      <c r="M16" s="47"/>
      <c r="N16" s="48"/>
      <c r="O16" s="49"/>
      <c r="P16" s="48"/>
      <c r="Q16" s="57"/>
    </row>
    <row r="17" spans="2:17">
      <c r="B17" s="79">
        <v>45540</v>
      </c>
      <c r="C17" s="73" t="s">
        <v>32</v>
      </c>
      <c r="D17" s="20" t="s">
        <v>19</v>
      </c>
      <c r="E17" s="61" t="s">
        <v>33</v>
      </c>
      <c r="F17" s="66" t="s">
        <v>21</v>
      </c>
      <c r="G17" s="23"/>
      <c r="H17" s="28"/>
      <c r="I17" s="47"/>
      <c r="J17" s="17"/>
      <c r="K17" s="47"/>
      <c r="L17" s="17"/>
      <c r="M17" s="47"/>
      <c r="N17" s="48">
        <v>51265.04</v>
      </c>
      <c r="O17" s="49"/>
      <c r="P17" s="48"/>
      <c r="Q17" s="57"/>
    </row>
    <row r="18" spans="2:17">
      <c r="B18" s="18">
        <v>45565</v>
      </c>
      <c r="C18" s="19" t="s">
        <v>32</v>
      </c>
      <c r="D18" s="20" t="s">
        <v>19</v>
      </c>
      <c r="E18" s="21" t="s">
        <v>31</v>
      </c>
      <c r="F18" s="66" t="s">
        <v>21</v>
      </c>
      <c r="G18" s="23"/>
      <c r="H18" s="24"/>
      <c r="I18" s="47"/>
      <c r="J18" s="17"/>
      <c r="K18" s="67"/>
      <c r="L18" s="17"/>
      <c r="M18" s="47"/>
      <c r="N18" s="48">
        <v>2385.52</v>
      </c>
      <c r="O18" s="49"/>
      <c r="P18" s="48"/>
      <c r="Q18" s="57"/>
    </row>
    <row r="19" spans="2:17">
      <c r="B19" s="18">
        <v>45565</v>
      </c>
      <c r="C19" s="19" t="s">
        <v>32</v>
      </c>
      <c r="D19" s="20" t="s">
        <v>19</v>
      </c>
      <c r="E19" s="21" t="s">
        <v>30</v>
      </c>
      <c r="F19" s="66" t="s">
        <v>21</v>
      </c>
      <c r="G19" s="23"/>
      <c r="H19" s="24"/>
      <c r="I19" s="47"/>
      <c r="J19" s="17"/>
      <c r="K19" s="67"/>
      <c r="L19" s="17"/>
      <c r="M19" s="47"/>
      <c r="N19" s="48">
        <v>45324.91</v>
      </c>
      <c r="O19" s="49"/>
      <c r="P19" s="48"/>
      <c r="Q19" s="57"/>
    </row>
    <row r="20" spans="2:17">
      <c r="B20" s="18"/>
      <c r="C20" s="19"/>
      <c r="D20" s="80"/>
      <c r="E20" s="70"/>
      <c r="F20" s="22"/>
      <c r="G20" s="71"/>
      <c r="H20" s="24"/>
      <c r="I20" s="47"/>
      <c r="J20" s="17"/>
      <c r="K20" s="67"/>
      <c r="L20" s="17"/>
      <c r="M20" s="47"/>
      <c r="N20" s="48"/>
      <c r="O20" s="49"/>
      <c r="P20" s="48"/>
      <c r="Q20" s="57"/>
    </row>
    <row r="21" spans="2:17">
      <c r="B21" s="18"/>
      <c r="C21" s="19"/>
      <c r="D21" s="80"/>
      <c r="E21" s="70"/>
      <c r="F21" s="22"/>
      <c r="G21" s="71"/>
      <c r="H21" s="24"/>
      <c r="I21" s="47"/>
      <c r="J21" s="17"/>
      <c r="K21" s="67"/>
      <c r="L21" s="17"/>
      <c r="M21" s="47"/>
      <c r="N21" s="48"/>
      <c r="O21" s="49"/>
      <c r="P21" s="48"/>
      <c r="Q21" s="57"/>
    </row>
    <row r="22" spans="2:17">
      <c r="B22" s="18"/>
      <c r="C22" s="19"/>
      <c r="D22" s="20"/>
      <c r="E22" s="27"/>
      <c r="F22" s="22"/>
      <c r="G22" s="23"/>
      <c r="H22" s="60"/>
      <c r="I22" s="47"/>
      <c r="J22" s="17"/>
      <c r="K22" s="47"/>
      <c r="L22" s="17"/>
      <c r="M22" s="47"/>
      <c r="N22" s="48"/>
      <c r="O22" s="49"/>
      <c r="P22" s="48"/>
      <c r="Q22" s="57"/>
    </row>
    <row r="23" spans="2:17">
      <c r="B23" s="18"/>
      <c r="C23" s="19"/>
      <c r="D23" s="20"/>
      <c r="E23" s="81"/>
      <c r="F23" s="22"/>
      <c r="G23" s="23"/>
      <c r="H23" s="24"/>
      <c r="I23" s="47"/>
      <c r="J23" s="17"/>
      <c r="K23" s="47"/>
      <c r="L23" s="17"/>
      <c r="M23" s="47"/>
      <c r="N23" s="48"/>
      <c r="O23" s="49"/>
      <c r="P23" s="48"/>
      <c r="Q23" s="57"/>
    </row>
    <row r="24" spans="2:17">
      <c r="B24" s="18"/>
      <c r="C24" s="19"/>
      <c r="D24" s="20"/>
      <c r="E24" s="27"/>
      <c r="F24" s="22"/>
      <c r="G24" s="23"/>
      <c r="H24" s="24"/>
      <c r="I24" s="47"/>
      <c r="J24" s="17"/>
      <c r="K24" s="67"/>
      <c r="L24" s="17"/>
      <c r="M24" s="47"/>
      <c r="N24" s="48"/>
      <c r="O24" s="49"/>
      <c r="P24" s="48"/>
      <c r="Q24" s="57"/>
    </row>
    <row r="25" spans="2:17">
      <c r="B25" s="18"/>
      <c r="C25" s="19"/>
      <c r="D25" s="80"/>
      <c r="E25" s="72"/>
      <c r="F25" s="22"/>
      <c r="G25" s="23"/>
      <c r="H25" s="24"/>
      <c r="I25" s="47"/>
      <c r="J25" s="17"/>
      <c r="K25" s="67"/>
      <c r="L25" s="17"/>
      <c r="M25" s="47"/>
      <c r="N25" s="48"/>
      <c r="O25" s="49"/>
      <c r="P25" s="48"/>
      <c r="Q25" s="57"/>
    </row>
    <row r="26" spans="2:17">
      <c r="B26" s="18"/>
      <c r="C26" s="19"/>
      <c r="D26" s="80"/>
      <c r="E26" s="70"/>
      <c r="F26" s="22"/>
      <c r="G26" s="71"/>
      <c r="H26" s="24"/>
      <c r="I26" s="47"/>
      <c r="J26" s="17"/>
      <c r="K26" s="67"/>
      <c r="L26" s="17"/>
      <c r="M26" s="47"/>
      <c r="N26" s="48"/>
      <c r="O26" s="49"/>
      <c r="P26" s="48"/>
      <c r="Q26" s="57"/>
    </row>
    <row r="27" spans="2:17">
      <c r="B27" s="18"/>
      <c r="C27" s="19"/>
      <c r="D27" s="20"/>
      <c r="E27" s="27"/>
      <c r="F27" s="22"/>
      <c r="G27" s="23"/>
      <c r="H27" s="24"/>
      <c r="I27" s="47"/>
      <c r="J27" s="17"/>
      <c r="K27" s="67"/>
      <c r="L27" s="17"/>
      <c r="M27" s="47"/>
      <c r="N27" s="48"/>
      <c r="O27" s="49"/>
      <c r="P27" s="48"/>
      <c r="Q27" s="57"/>
    </row>
    <row r="28" spans="2:17">
      <c r="B28" s="18"/>
      <c r="C28" s="19"/>
      <c r="D28" s="20"/>
      <c r="E28" s="27"/>
      <c r="F28" s="22"/>
      <c r="G28" s="23"/>
      <c r="H28" s="60"/>
      <c r="I28" s="47"/>
      <c r="J28" s="17"/>
      <c r="K28" s="47"/>
      <c r="L28" s="17"/>
      <c r="M28" s="47"/>
      <c r="N28" s="48"/>
      <c r="O28" s="47"/>
      <c r="P28" s="48"/>
      <c r="Q28" s="57"/>
    </row>
    <row r="29" spans="2:17">
      <c r="B29" s="18"/>
      <c r="C29" s="19"/>
      <c r="D29" s="20"/>
      <c r="E29" s="27"/>
      <c r="F29" s="22"/>
      <c r="G29" s="23"/>
      <c r="H29" s="60"/>
      <c r="I29" s="47"/>
      <c r="J29" s="17"/>
      <c r="K29" s="47"/>
      <c r="L29" s="17"/>
      <c r="M29" s="47"/>
      <c r="N29" s="48"/>
      <c r="O29" s="47"/>
      <c r="P29" s="48"/>
      <c r="Q29" s="57"/>
    </row>
    <row r="30" spans="2:17">
      <c r="B30" s="18"/>
      <c r="C30" s="19"/>
      <c r="D30" s="20"/>
      <c r="E30" s="27"/>
      <c r="F30" s="22"/>
      <c r="G30" s="23"/>
      <c r="H30" s="60"/>
      <c r="I30" s="47"/>
      <c r="J30" s="17"/>
      <c r="K30" s="47"/>
      <c r="L30" s="17"/>
      <c r="M30" s="47"/>
      <c r="N30" s="48"/>
      <c r="O30" s="47"/>
      <c r="P30" s="48"/>
      <c r="Q30" s="57"/>
    </row>
    <row r="31" spans="2:17">
      <c r="B31" s="18"/>
      <c r="C31" s="19"/>
      <c r="D31" s="20"/>
      <c r="E31" s="27"/>
      <c r="F31" s="22"/>
      <c r="G31" s="23"/>
      <c r="H31" s="24"/>
      <c r="I31" s="47"/>
      <c r="J31" s="17"/>
      <c r="K31" s="47"/>
      <c r="L31" s="17"/>
      <c r="M31" s="47"/>
      <c r="N31" s="24"/>
      <c r="O31" s="49"/>
      <c r="P31" s="48"/>
      <c r="Q31" s="57"/>
    </row>
    <row r="32" spans="2:17">
      <c r="B32" s="18"/>
      <c r="C32" s="19"/>
      <c r="D32" s="20"/>
      <c r="E32" s="27"/>
      <c r="F32" s="22"/>
      <c r="G32" s="23"/>
      <c r="H32" s="24"/>
      <c r="I32" s="47"/>
      <c r="J32" s="17"/>
      <c r="K32" s="47"/>
      <c r="L32" s="17"/>
      <c r="M32" s="47"/>
      <c r="N32" s="17"/>
      <c r="O32" s="49"/>
      <c r="P32" s="48"/>
      <c r="Q32" s="47"/>
    </row>
    <row r="33" spans="1:22">
      <c r="B33" s="18"/>
      <c r="C33" s="19"/>
      <c r="D33" s="20"/>
      <c r="E33" s="70"/>
      <c r="F33" s="22"/>
      <c r="G33" s="71"/>
      <c r="H33" s="48"/>
      <c r="I33" s="47"/>
      <c r="J33" s="17"/>
      <c r="K33" s="47"/>
      <c r="L33" s="17"/>
      <c r="M33" s="47"/>
      <c r="N33" s="48"/>
      <c r="O33" s="49"/>
      <c r="P33" s="48"/>
      <c r="Q33" s="57"/>
    </row>
    <row r="34" spans="1:22">
      <c r="B34" s="18"/>
      <c r="C34" s="19"/>
      <c r="D34" s="20"/>
      <c r="E34" s="82"/>
      <c r="F34" s="22"/>
      <c r="G34" s="23"/>
      <c r="H34" s="60"/>
      <c r="I34" s="67"/>
      <c r="J34" s="17"/>
      <c r="K34" s="47"/>
      <c r="L34" s="17"/>
      <c r="M34" s="47"/>
      <c r="N34" s="48"/>
      <c r="O34" s="49"/>
      <c r="P34" s="48"/>
      <c r="Q34" s="47"/>
    </row>
    <row r="35" spans="1:22">
      <c r="B35" s="18"/>
      <c r="C35" s="73"/>
      <c r="D35" s="74"/>
      <c r="E35" s="78"/>
      <c r="F35" s="76"/>
      <c r="G35" s="23"/>
      <c r="H35" s="60"/>
      <c r="I35" s="49"/>
      <c r="J35" s="17"/>
      <c r="K35" s="67"/>
      <c r="L35" s="17"/>
      <c r="M35" s="47"/>
      <c r="N35" s="48"/>
      <c r="O35" s="67"/>
      <c r="P35" s="48"/>
      <c r="Q35" s="47"/>
    </row>
    <row r="36" spans="1:22">
      <c r="B36" s="29"/>
      <c r="C36" s="30"/>
      <c r="D36" s="31"/>
      <c r="E36" s="32"/>
      <c r="F36" s="31"/>
      <c r="G36" s="33">
        <f t="shared" ref="G36:Q36" si="1">SUM(G8:G35)</f>
        <v>0</v>
      </c>
      <c r="H36" s="34">
        <f t="shared" si="1"/>
        <v>16878.32</v>
      </c>
      <c r="I36" s="50">
        <f t="shared" si="1"/>
        <v>139976.74</v>
      </c>
      <c r="J36" s="51">
        <f t="shared" si="1"/>
        <v>48500.52</v>
      </c>
      <c r="K36" s="52">
        <f t="shared" si="1"/>
        <v>0</v>
      </c>
      <c r="L36" s="53">
        <f t="shared" si="1"/>
        <v>0</v>
      </c>
      <c r="M36" s="54">
        <f t="shared" si="1"/>
        <v>0</v>
      </c>
      <c r="N36" s="55">
        <f t="shared" si="1"/>
        <v>98975.47</v>
      </c>
      <c r="O36" s="55">
        <f t="shared" si="1"/>
        <v>0</v>
      </c>
      <c r="P36" s="34">
        <f t="shared" si="1"/>
        <v>0</v>
      </c>
      <c r="Q36" s="58">
        <f t="shared" si="1"/>
        <v>0</v>
      </c>
    </row>
    <row r="37" spans="1:22">
      <c r="A37" s="6"/>
    </row>
    <row r="38" spans="1:22">
      <c r="A38" s="6"/>
    </row>
    <row r="39" spans="1:22">
      <c r="A39" s="6"/>
    </row>
    <row r="40" spans="1:22">
      <c r="A40" s="6"/>
    </row>
    <row r="41" spans="1:22">
      <c r="A41" s="6"/>
    </row>
    <row r="42" spans="1:22" s="2" customFormat="1">
      <c r="A42" s="6"/>
      <c r="B42" s="3"/>
      <c r="C42"/>
      <c r="D42" s="1"/>
      <c r="E42"/>
      <c r="F42" s="4"/>
      <c r="G42" s="5"/>
      <c r="H42"/>
      <c r="I42" s="6"/>
      <c r="J42" s="1"/>
      <c r="K42" s="1"/>
      <c r="L42" s="1"/>
      <c r="M42" s="1"/>
      <c r="N42" s="1"/>
      <c r="O42" s="1"/>
      <c r="P42" s="7"/>
      <c r="Q42" s="1"/>
      <c r="R42"/>
      <c r="S42"/>
      <c r="T42"/>
      <c r="U42"/>
      <c r="V42"/>
    </row>
  </sheetData>
  <mergeCells count="29">
    <mergeCell ref="I5:I6"/>
    <mergeCell ref="J5:J6"/>
    <mergeCell ref="K5:K6"/>
    <mergeCell ref="Q5:Q6"/>
    <mergeCell ref="L5:L6"/>
    <mergeCell ref="M5:M6"/>
    <mergeCell ref="N5:N6"/>
    <mergeCell ref="O5:O6"/>
    <mergeCell ref="P5:P6"/>
    <mergeCell ref="B5:C5"/>
    <mergeCell ref="D5:E5"/>
    <mergeCell ref="C1:C2"/>
    <mergeCell ref="G5:G6"/>
    <mergeCell ref="H5:H6"/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F3:F4"/>
    <mergeCell ref="G3:G4"/>
    <mergeCell ref="B4:C4"/>
    <mergeCell ref="D4:E4"/>
  </mergeCells>
  <pageMargins left="0.511811024" right="0.511811024" top="0.78740157499999996" bottom="0.78740157499999996" header="0.31496062000000002" footer="0.31496062000000002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</sheetPr>
  <dimension ref="A1:V35"/>
  <sheetViews>
    <sheetView zoomScale="90" zoomScaleNormal="90" workbookViewId="0">
      <pane xSplit="5" ySplit="7" topLeftCell="F8" activePane="bottomRight" state="frozen"/>
      <selection pane="topRight"/>
      <selection pane="bottomLeft"/>
      <selection pane="bottomRight" activeCell="B3" sqref="B3:C3"/>
    </sheetView>
  </sheetViews>
  <sheetFormatPr defaultColWidth="9" defaultRowHeight="14.4"/>
  <cols>
    <col min="1" max="1" width="1.33203125" customWidth="1"/>
    <col min="2" max="2" width="5.6640625" style="3" customWidth="1"/>
    <col min="3" max="3" width="53.5546875" customWidth="1"/>
    <col min="4" max="4" width="8.44140625" style="1" customWidth="1"/>
    <col min="5" max="5" width="11.33203125" customWidth="1"/>
    <col min="6" max="6" width="18.44140625" style="4" customWidth="1"/>
    <col min="7" max="7" width="12.88671875" style="5" customWidth="1"/>
    <col min="8" max="8" width="17.6640625" customWidth="1"/>
    <col min="9" max="9" width="17.109375" style="6" customWidth="1"/>
    <col min="10" max="10" width="14.33203125" style="1" customWidth="1"/>
    <col min="11" max="11" width="19.109375" style="1" customWidth="1"/>
    <col min="12" max="12" width="11.6640625" style="1" customWidth="1"/>
    <col min="13" max="13" width="15.6640625" style="1" customWidth="1"/>
    <col min="14" max="14" width="13.6640625" style="1" customWidth="1"/>
    <col min="15" max="15" width="17.109375" style="1" customWidth="1"/>
    <col min="16" max="16" width="11.6640625" style="7" customWidth="1"/>
    <col min="17" max="17" width="22.33203125" style="1" customWidth="1"/>
    <col min="18" max="18" width="2.44140625" customWidth="1"/>
  </cols>
  <sheetData>
    <row r="1" spans="2:17">
      <c r="B1" s="8"/>
      <c r="C1" s="109" t="s">
        <v>34</v>
      </c>
      <c r="D1" s="9"/>
      <c r="E1" s="10"/>
      <c r="F1" s="11"/>
      <c r="G1" s="12"/>
      <c r="H1" s="10"/>
      <c r="I1" s="35"/>
      <c r="J1" s="9"/>
      <c r="K1" s="9"/>
      <c r="L1" s="9"/>
      <c r="M1" s="9"/>
      <c r="N1" s="9"/>
      <c r="O1" s="9"/>
      <c r="P1" s="36"/>
      <c r="Q1" s="9"/>
    </row>
    <row r="2" spans="2:17">
      <c r="B2" s="8"/>
      <c r="C2" s="109"/>
      <c r="D2" s="9"/>
      <c r="E2" s="10"/>
      <c r="F2" s="11"/>
      <c r="G2" s="12"/>
      <c r="H2" s="11"/>
      <c r="I2" s="37"/>
      <c r="J2" s="86"/>
      <c r="K2" s="86"/>
      <c r="L2" s="86"/>
      <c r="M2" s="86"/>
      <c r="N2" s="87"/>
      <c r="O2" s="87"/>
      <c r="P2" s="86"/>
      <c r="Q2" s="86"/>
    </row>
    <row r="3" spans="2:17">
      <c r="B3" s="88" t="s">
        <v>1</v>
      </c>
      <c r="C3" s="89"/>
      <c r="D3" s="90">
        <f>I5+K5+M5+O5+Q5</f>
        <v>375768.74</v>
      </c>
      <c r="E3" s="91"/>
      <c r="F3" s="98">
        <f>D3+D4</f>
        <v>389071.74</v>
      </c>
      <c r="G3" s="100" t="s">
        <v>2</v>
      </c>
      <c r="H3" s="92" t="s">
        <v>3</v>
      </c>
      <c r="I3" s="92"/>
      <c r="J3" s="93" t="s">
        <v>4</v>
      </c>
      <c r="K3" s="93"/>
      <c r="L3" s="94" t="s">
        <v>5</v>
      </c>
      <c r="M3" s="94"/>
      <c r="N3" s="95" t="s">
        <v>6</v>
      </c>
      <c r="O3" s="96"/>
      <c r="P3" s="97" t="s">
        <v>7</v>
      </c>
      <c r="Q3" s="97"/>
    </row>
    <row r="4" spans="2:17">
      <c r="B4" s="101" t="s">
        <v>8</v>
      </c>
      <c r="C4" s="102"/>
      <c r="D4" s="103">
        <f>H5+J5+L5+N5+P5</f>
        <v>13303</v>
      </c>
      <c r="E4" s="104"/>
      <c r="F4" s="99"/>
      <c r="G4" s="100"/>
      <c r="H4" s="13" t="s">
        <v>9</v>
      </c>
      <c r="I4" s="38" t="s">
        <v>10</v>
      </c>
      <c r="J4" s="39" t="s">
        <v>9</v>
      </c>
      <c r="K4" s="40" t="s">
        <v>10</v>
      </c>
      <c r="L4" s="41" t="s">
        <v>9</v>
      </c>
      <c r="M4" s="42" t="s">
        <v>10</v>
      </c>
      <c r="N4" s="43" t="s">
        <v>9</v>
      </c>
      <c r="O4" s="44" t="s">
        <v>10</v>
      </c>
      <c r="P4" s="45" t="s">
        <v>9</v>
      </c>
      <c r="Q4" s="56" t="s">
        <v>10</v>
      </c>
    </row>
    <row r="5" spans="2:17">
      <c r="B5" s="105" t="s">
        <v>11</v>
      </c>
      <c r="C5" s="106"/>
      <c r="D5" s="107">
        <f>G5</f>
        <v>0</v>
      </c>
      <c r="E5" s="108"/>
      <c r="F5" s="11"/>
      <c r="G5" s="110">
        <f t="shared" ref="G5:Q5" si="0">G33</f>
        <v>0</v>
      </c>
      <c r="H5" s="112">
        <f t="shared" si="0"/>
        <v>0</v>
      </c>
      <c r="I5" s="114">
        <f t="shared" si="0"/>
        <v>0</v>
      </c>
      <c r="J5" s="112">
        <f t="shared" si="0"/>
        <v>13303</v>
      </c>
      <c r="K5" s="114">
        <f t="shared" si="0"/>
        <v>375768.74</v>
      </c>
      <c r="L5" s="112">
        <f t="shared" si="0"/>
        <v>0</v>
      </c>
      <c r="M5" s="114">
        <f t="shared" si="0"/>
        <v>0</v>
      </c>
      <c r="N5" s="116">
        <f t="shared" si="0"/>
        <v>0</v>
      </c>
      <c r="O5" s="118">
        <f t="shared" si="0"/>
        <v>0</v>
      </c>
      <c r="P5" s="112">
        <f t="shared" si="0"/>
        <v>0</v>
      </c>
      <c r="Q5" s="114">
        <f t="shared" si="0"/>
        <v>0</v>
      </c>
    </row>
    <row r="6" spans="2:17" s="1" customFormat="1" ht="4.5" customHeight="1">
      <c r="B6" s="8"/>
      <c r="C6" s="9"/>
      <c r="D6" s="9"/>
      <c r="E6" s="10"/>
      <c r="F6" s="11"/>
      <c r="G6" s="111"/>
      <c r="H6" s="113"/>
      <c r="I6" s="115"/>
      <c r="J6" s="113"/>
      <c r="K6" s="115"/>
      <c r="L6" s="113"/>
      <c r="M6" s="115"/>
      <c r="N6" s="117"/>
      <c r="O6" s="119"/>
      <c r="P6" s="113"/>
      <c r="Q6" s="115"/>
    </row>
    <row r="7" spans="2:17" s="1" customFormat="1">
      <c r="B7" s="14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6" t="s">
        <v>17</v>
      </c>
      <c r="H7" s="17" t="s">
        <v>9</v>
      </c>
      <c r="I7" s="46" t="s">
        <v>10</v>
      </c>
      <c r="J7" s="17" t="s">
        <v>9</v>
      </c>
      <c r="K7" s="46" t="s">
        <v>10</v>
      </c>
      <c r="L7" s="17" t="s">
        <v>9</v>
      </c>
      <c r="M7" s="46" t="s">
        <v>10</v>
      </c>
      <c r="N7" s="17" t="s">
        <v>9</v>
      </c>
      <c r="O7" s="46" t="s">
        <v>10</v>
      </c>
      <c r="P7" s="17" t="s">
        <v>9</v>
      </c>
      <c r="Q7" s="46" t="s">
        <v>10</v>
      </c>
    </row>
    <row r="8" spans="2:17">
      <c r="B8" s="18">
        <v>45663</v>
      </c>
      <c r="C8" s="19" t="s">
        <v>35</v>
      </c>
      <c r="D8" s="20" t="s">
        <v>19</v>
      </c>
      <c r="E8" s="21" t="s">
        <v>36</v>
      </c>
      <c r="F8" s="22" t="s">
        <v>37</v>
      </c>
      <c r="G8" s="23"/>
      <c r="H8" s="24"/>
      <c r="I8" s="47"/>
      <c r="J8" s="17">
        <v>10503</v>
      </c>
      <c r="K8" s="67"/>
      <c r="L8" s="17"/>
      <c r="M8" s="47"/>
      <c r="N8" s="48"/>
      <c r="O8" s="49"/>
      <c r="P8" s="48"/>
      <c r="Q8" s="57"/>
    </row>
    <row r="9" spans="2:17">
      <c r="B9" s="18">
        <v>45659</v>
      </c>
      <c r="C9" s="25" t="s">
        <v>38</v>
      </c>
      <c r="D9" s="20" t="s">
        <v>19</v>
      </c>
      <c r="E9" s="21" t="s">
        <v>39</v>
      </c>
      <c r="F9" s="22" t="s">
        <v>37</v>
      </c>
      <c r="G9" s="23"/>
      <c r="H9" s="24"/>
      <c r="I9" s="47"/>
      <c r="J9" s="17">
        <v>2800</v>
      </c>
      <c r="K9" s="47"/>
      <c r="L9" s="17"/>
      <c r="M9" s="47"/>
      <c r="N9" s="48"/>
      <c r="O9" s="49"/>
      <c r="P9" s="48"/>
      <c r="Q9" s="57"/>
    </row>
    <row r="10" spans="2:17">
      <c r="B10" s="18">
        <v>45664</v>
      </c>
      <c r="C10" s="25" t="s">
        <v>40</v>
      </c>
      <c r="D10" s="20" t="s">
        <v>19</v>
      </c>
      <c r="E10" s="21" t="s">
        <v>41</v>
      </c>
      <c r="F10" s="22" t="s">
        <v>37</v>
      </c>
      <c r="G10" s="23"/>
      <c r="H10" s="24"/>
      <c r="I10" s="47"/>
      <c r="J10" s="17"/>
      <c r="K10" s="47">
        <v>17200</v>
      </c>
      <c r="L10" s="17"/>
      <c r="M10" s="47"/>
      <c r="N10" s="48"/>
      <c r="O10" s="49"/>
      <c r="P10" s="48"/>
      <c r="Q10" s="57"/>
    </row>
    <row r="11" spans="2:17">
      <c r="B11" s="18">
        <v>46027</v>
      </c>
      <c r="C11" s="19" t="s">
        <v>42</v>
      </c>
      <c r="D11" s="20" t="s">
        <v>19</v>
      </c>
      <c r="E11" s="21"/>
      <c r="F11" s="22" t="s">
        <v>37</v>
      </c>
      <c r="G11" s="23"/>
      <c r="H11" s="24"/>
      <c r="I11" s="47"/>
      <c r="J11" s="17"/>
      <c r="K11" s="47">
        <v>4085</v>
      </c>
      <c r="L11" s="17"/>
      <c r="M11" s="47"/>
      <c r="N11" s="48"/>
      <c r="O11" s="49"/>
      <c r="P11" s="48"/>
      <c r="Q11" s="57"/>
    </row>
    <row r="12" spans="2:17">
      <c r="B12" s="18">
        <v>46030</v>
      </c>
      <c r="C12" s="19" t="s">
        <v>43</v>
      </c>
      <c r="D12" s="20" t="s">
        <v>19</v>
      </c>
      <c r="E12" s="21"/>
      <c r="F12" s="22" t="s">
        <v>37</v>
      </c>
      <c r="G12" s="23"/>
      <c r="H12" s="24"/>
      <c r="I12" s="47"/>
      <c r="J12" s="17"/>
      <c r="K12" s="47">
        <v>2700</v>
      </c>
      <c r="L12" s="17"/>
      <c r="M12" s="47"/>
      <c r="N12" s="48"/>
      <c r="O12" s="49"/>
      <c r="P12" s="48"/>
      <c r="Q12" s="57"/>
    </row>
    <row r="13" spans="2:17">
      <c r="B13" s="18">
        <v>46031</v>
      </c>
      <c r="C13" s="25" t="s">
        <v>44</v>
      </c>
      <c r="D13" s="20" t="s">
        <v>19</v>
      </c>
      <c r="E13" s="21" t="s">
        <v>45</v>
      </c>
      <c r="F13" s="22" t="s">
        <v>37</v>
      </c>
      <c r="G13" s="23"/>
      <c r="H13" s="24"/>
      <c r="I13" s="47"/>
      <c r="J13" s="17"/>
      <c r="K13" s="47">
        <v>6860</v>
      </c>
      <c r="L13" s="17"/>
      <c r="M13" s="47"/>
      <c r="N13" s="48"/>
      <c r="O13" s="49"/>
      <c r="P13" s="48"/>
      <c r="Q13" s="57"/>
    </row>
    <row r="14" spans="2:17">
      <c r="B14" s="18">
        <v>46031</v>
      </c>
      <c r="C14" s="25" t="s">
        <v>44</v>
      </c>
      <c r="D14" s="20" t="s">
        <v>19</v>
      </c>
      <c r="E14" s="21" t="s">
        <v>46</v>
      </c>
      <c r="F14" s="22" t="s">
        <v>37</v>
      </c>
      <c r="G14" s="23"/>
      <c r="H14" s="24"/>
      <c r="I14" s="47"/>
      <c r="J14" s="17"/>
      <c r="K14" s="47">
        <v>61740</v>
      </c>
      <c r="L14" s="17"/>
      <c r="M14" s="47"/>
      <c r="N14" s="48"/>
      <c r="O14" s="49"/>
      <c r="P14" s="48"/>
      <c r="Q14" s="57"/>
    </row>
    <row r="15" spans="2:17">
      <c r="B15" s="18">
        <v>46031</v>
      </c>
      <c r="C15" s="25" t="s">
        <v>44</v>
      </c>
      <c r="D15" s="20" t="s">
        <v>19</v>
      </c>
      <c r="E15" s="21" t="s">
        <v>47</v>
      </c>
      <c r="F15" s="22" t="s">
        <v>37</v>
      </c>
      <c r="G15" s="23"/>
      <c r="H15" s="24"/>
      <c r="I15" s="47"/>
      <c r="J15" s="17"/>
      <c r="K15" s="47">
        <v>6740</v>
      </c>
      <c r="L15" s="17"/>
      <c r="M15" s="47"/>
      <c r="N15" s="48"/>
      <c r="O15" s="49"/>
      <c r="P15" s="48"/>
      <c r="Q15" s="57"/>
    </row>
    <row r="16" spans="2:17">
      <c r="B16" s="18">
        <v>46031</v>
      </c>
      <c r="C16" s="25" t="s">
        <v>44</v>
      </c>
      <c r="D16" s="20" t="s">
        <v>19</v>
      </c>
      <c r="E16" s="21" t="s">
        <v>48</v>
      </c>
      <c r="F16" s="22" t="s">
        <v>37</v>
      </c>
      <c r="G16" s="23"/>
      <c r="H16" s="24"/>
      <c r="I16" s="47"/>
      <c r="J16" s="17"/>
      <c r="K16" s="47">
        <v>60660</v>
      </c>
      <c r="L16" s="17"/>
      <c r="M16" s="47"/>
      <c r="N16" s="48"/>
      <c r="O16" s="49"/>
      <c r="P16" s="48"/>
      <c r="Q16" s="57"/>
    </row>
    <row r="17" spans="2:17">
      <c r="B17" s="18">
        <v>46031</v>
      </c>
      <c r="C17" s="25" t="s">
        <v>44</v>
      </c>
      <c r="D17" s="20" t="s">
        <v>19</v>
      </c>
      <c r="E17" s="21" t="s">
        <v>49</v>
      </c>
      <c r="F17" s="22" t="s">
        <v>37</v>
      </c>
      <c r="G17" s="23"/>
      <c r="H17" s="24"/>
      <c r="I17" s="47"/>
      <c r="J17" s="17"/>
      <c r="K17" s="47">
        <v>6112.5</v>
      </c>
      <c r="L17" s="17"/>
      <c r="M17" s="47"/>
      <c r="N17" s="48"/>
      <c r="O17" s="49"/>
      <c r="P17" s="48"/>
      <c r="Q17" s="57"/>
    </row>
    <row r="18" spans="2:17">
      <c r="B18" s="18">
        <v>46031</v>
      </c>
      <c r="C18" s="25" t="s">
        <v>44</v>
      </c>
      <c r="D18" s="20" t="s">
        <v>19</v>
      </c>
      <c r="E18" s="21" t="s">
        <v>50</v>
      </c>
      <c r="F18" s="22" t="s">
        <v>37</v>
      </c>
      <c r="G18" s="23"/>
      <c r="H18" s="24"/>
      <c r="I18" s="47"/>
      <c r="J18" s="17"/>
      <c r="K18" s="47">
        <v>56512.5</v>
      </c>
      <c r="L18" s="17"/>
      <c r="M18" s="47"/>
      <c r="N18" s="48"/>
      <c r="O18" s="49"/>
      <c r="P18" s="48"/>
      <c r="Q18" s="57"/>
    </row>
    <row r="19" spans="2:17">
      <c r="B19" s="18">
        <v>46034</v>
      </c>
      <c r="C19" s="25" t="s">
        <v>51</v>
      </c>
      <c r="D19" s="20" t="s">
        <v>52</v>
      </c>
      <c r="E19" s="21"/>
      <c r="F19" s="22" t="s">
        <v>37</v>
      </c>
      <c r="G19" s="23"/>
      <c r="H19" s="24"/>
      <c r="I19" s="47"/>
      <c r="J19" s="17"/>
      <c r="K19" s="47">
        <v>122015.03</v>
      </c>
      <c r="L19" s="17"/>
      <c r="M19" s="47"/>
      <c r="N19" s="48"/>
      <c r="O19" s="49"/>
      <c r="P19" s="48"/>
      <c r="Q19" s="57"/>
    </row>
    <row r="20" spans="2:17">
      <c r="B20" s="18">
        <v>46049</v>
      </c>
      <c r="C20" s="25" t="s">
        <v>53</v>
      </c>
      <c r="D20" s="20" t="s">
        <v>19</v>
      </c>
      <c r="E20" s="61" t="s">
        <v>54</v>
      </c>
      <c r="F20" s="22" t="s">
        <v>37</v>
      </c>
      <c r="G20" s="23"/>
      <c r="H20" s="28"/>
      <c r="I20" s="47"/>
      <c r="J20" s="17"/>
      <c r="K20" s="47">
        <v>28038.02</v>
      </c>
      <c r="L20" s="17"/>
      <c r="M20" s="47"/>
      <c r="N20" s="48"/>
      <c r="O20" s="49"/>
      <c r="P20" s="48"/>
      <c r="Q20" s="57"/>
    </row>
    <row r="21" spans="2:17">
      <c r="B21" s="18">
        <v>46049</v>
      </c>
      <c r="C21" s="25" t="s">
        <v>55</v>
      </c>
      <c r="D21" s="20" t="s">
        <v>19</v>
      </c>
      <c r="E21" s="61" t="s">
        <v>56</v>
      </c>
      <c r="F21" s="22" t="s">
        <v>37</v>
      </c>
      <c r="G21" s="23"/>
      <c r="H21" s="28"/>
      <c r="I21" s="47"/>
      <c r="J21" s="17"/>
      <c r="K21" s="47">
        <v>3105.69</v>
      </c>
      <c r="L21" s="17"/>
      <c r="M21" s="47"/>
      <c r="N21" s="48"/>
      <c r="O21" s="49"/>
      <c r="P21" s="48"/>
      <c r="Q21" s="57"/>
    </row>
    <row r="22" spans="2:17">
      <c r="B22" s="18"/>
      <c r="C22" s="19"/>
      <c r="D22" s="20"/>
      <c r="E22" s="61"/>
      <c r="F22" s="22"/>
      <c r="G22" s="23"/>
      <c r="H22" s="28"/>
      <c r="I22" s="47"/>
      <c r="J22" s="17"/>
      <c r="K22" s="47"/>
      <c r="L22" s="17"/>
      <c r="M22" s="47"/>
      <c r="N22" s="48"/>
      <c r="O22" s="49"/>
      <c r="P22" s="48"/>
      <c r="Q22" s="57"/>
    </row>
    <row r="23" spans="2:17">
      <c r="B23" s="18"/>
      <c r="C23" s="19"/>
      <c r="D23" s="20"/>
      <c r="E23" s="61"/>
      <c r="F23" s="22"/>
      <c r="G23" s="23"/>
      <c r="H23" s="28"/>
      <c r="I23" s="47"/>
      <c r="J23" s="17"/>
      <c r="K23" s="47"/>
      <c r="L23" s="17"/>
      <c r="M23" s="47"/>
      <c r="N23" s="48"/>
      <c r="O23" s="49"/>
      <c r="P23" s="48"/>
      <c r="Q23" s="57"/>
    </row>
    <row r="24" spans="2:17">
      <c r="B24" s="18"/>
      <c r="C24" s="19"/>
      <c r="D24" s="20"/>
      <c r="E24" s="61"/>
      <c r="F24" s="22"/>
      <c r="G24" s="23"/>
      <c r="H24" s="28"/>
      <c r="I24" s="47"/>
      <c r="J24" s="17"/>
      <c r="K24" s="47"/>
      <c r="L24" s="17"/>
      <c r="M24" s="47"/>
      <c r="N24" s="48"/>
      <c r="O24" s="49"/>
      <c r="P24" s="48"/>
      <c r="Q24" s="57"/>
    </row>
    <row r="25" spans="2:17">
      <c r="B25" s="18"/>
      <c r="C25" s="19"/>
      <c r="D25" s="20"/>
      <c r="E25" s="61"/>
      <c r="F25" s="22"/>
      <c r="G25" s="23"/>
      <c r="H25" s="28"/>
      <c r="I25" s="47"/>
      <c r="J25" s="17"/>
      <c r="K25" s="47"/>
      <c r="L25" s="17"/>
      <c r="M25" s="47"/>
      <c r="N25" s="48"/>
      <c r="O25" s="49"/>
      <c r="P25" s="48"/>
      <c r="Q25" s="57"/>
    </row>
    <row r="26" spans="2:17">
      <c r="B26" s="18"/>
      <c r="C26" s="19"/>
      <c r="D26" s="20"/>
      <c r="E26" s="61"/>
      <c r="F26" s="22"/>
      <c r="G26" s="23"/>
      <c r="H26" s="28"/>
      <c r="I26" s="47"/>
      <c r="J26" s="17"/>
      <c r="K26" s="47"/>
      <c r="L26" s="17"/>
      <c r="M26" s="47"/>
      <c r="N26" s="48"/>
      <c r="O26" s="49"/>
      <c r="P26" s="48"/>
      <c r="Q26" s="57"/>
    </row>
    <row r="27" spans="2:17">
      <c r="B27" s="18"/>
      <c r="C27" s="19"/>
      <c r="D27" s="20"/>
      <c r="E27" s="61"/>
      <c r="F27" s="22"/>
      <c r="G27" s="23"/>
      <c r="H27" s="28"/>
      <c r="I27" s="47"/>
      <c r="J27" s="17"/>
      <c r="K27" s="47"/>
      <c r="L27" s="17"/>
      <c r="M27" s="47"/>
      <c r="N27" s="48"/>
      <c r="O27" s="49"/>
      <c r="P27" s="48"/>
      <c r="Q27" s="57"/>
    </row>
    <row r="28" spans="2:17">
      <c r="B28" s="18"/>
      <c r="C28" s="19"/>
      <c r="D28" s="20"/>
      <c r="E28" s="61"/>
      <c r="F28" s="22"/>
      <c r="G28" s="23"/>
      <c r="H28" s="28"/>
      <c r="I28" s="47"/>
      <c r="J28" s="17"/>
      <c r="K28" s="47"/>
      <c r="L28" s="17"/>
      <c r="M28" s="47"/>
      <c r="N28" s="48"/>
      <c r="O28" s="49"/>
      <c r="P28" s="48"/>
      <c r="Q28" s="57"/>
    </row>
    <row r="29" spans="2:17">
      <c r="B29" s="18"/>
      <c r="C29" s="19"/>
      <c r="D29" s="20"/>
      <c r="E29" s="61"/>
      <c r="F29" s="22"/>
      <c r="G29" s="23"/>
      <c r="H29" s="28"/>
      <c r="I29" s="47"/>
      <c r="J29" s="17"/>
      <c r="K29" s="47"/>
      <c r="L29" s="17"/>
      <c r="M29" s="47"/>
      <c r="N29" s="48"/>
      <c r="O29" s="49"/>
      <c r="P29" s="48"/>
      <c r="Q29" s="57"/>
    </row>
    <row r="30" spans="2:17">
      <c r="B30" s="18"/>
      <c r="C30" s="19"/>
      <c r="D30" s="20"/>
      <c r="E30" s="61"/>
      <c r="F30" s="22"/>
      <c r="G30" s="23"/>
      <c r="H30" s="28"/>
      <c r="I30" s="47"/>
      <c r="J30" s="17"/>
      <c r="K30" s="47"/>
      <c r="L30" s="17"/>
      <c r="M30" s="47"/>
      <c r="N30" s="48"/>
      <c r="O30" s="49"/>
      <c r="P30" s="48"/>
      <c r="Q30" s="57"/>
    </row>
    <row r="31" spans="2:17">
      <c r="B31" s="18"/>
      <c r="C31" s="19"/>
      <c r="D31" s="20"/>
      <c r="E31" s="61"/>
      <c r="F31" s="22"/>
      <c r="G31" s="23"/>
      <c r="H31" s="28"/>
      <c r="I31" s="47"/>
      <c r="J31" s="17"/>
      <c r="K31" s="47"/>
      <c r="L31" s="17"/>
      <c r="M31" s="47"/>
      <c r="N31" s="24"/>
      <c r="O31" s="47"/>
      <c r="P31" s="48"/>
      <c r="Q31" s="57"/>
    </row>
    <row r="32" spans="2:17">
      <c r="B32" s="18"/>
      <c r="C32" s="73"/>
      <c r="D32" s="74"/>
      <c r="E32" s="78"/>
      <c r="F32" s="76"/>
      <c r="G32" s="23"/>
      <c r="H32" s="60"/>
      <c r="I32" s="49"/>
      <c r="J32" s="17"/>
      <c r="K32" s="67"/>
      <c r="L32" s="17"/>
      <c r="M32" s="47"/>
      <c r="N32" s="48"/>
      <c r="O32" s="67"/>
      <c r="P32" s="48"/>
      <c r="Q32" s="47"/>
    </row>
    <row r="33" spans="1:22">
      <c r="B33" s="29"/>
      <c r="C33" s="30"/>
      <c r="D33" s="31"/>
      <c r="E33" s="32"/>
      <c r="F33" s="31"/>
      <c r="G33" s="33">
        <f t="shared" ref="G33:Q33" si="1">SUM(G8:G32)</f>
        <v>0</v>
      </c>
      <c r="H33" s="34">
        <f t="shared" si="1"/>
        <v>0</v>
      </c>
      <c r="I33" s="50">
        <f t="shared" si="1"/>
        <v>0</v>
      </c>
      <c r="J33" s="51">
        <f t="shared" si="1"/>
        <v>13303</v>
      </c>
      <c r="K33" s="52">
        <f t="shared" si="1"/>
        <v>375768.74</v>
      </c>
      <c r="L33" s="53">
        <f t="shared" si="1"/>
        <v>0</v>
      </c>
      <c r="M33" s="54">
        <f t="shared" si="1"/>
        <v>0</v>
      </c>
      <c r="N33" s="55">
        <f t="shared" si="1"/>
        <v>0</v>
      </c>
      <c r="O33" s="55">
        <f t="shared" si="1"/>
        <v>0</v>
      </c>
      <c r="P33" s="34">
        <f t="shared" si="1"/>
        <v>0</v>
      </c>
      <c r="Q33" s="58">
        <f t="shared" si="1"/>
        <v>0</v>
      </c>
    </row>
    <row r="34" spans="1:22">
      <c r="A34" s="6"/>
    </row>
    <row r="35" spans="1:22" s="2" customFormat="1">
      <c r="A35" s="6"/>
      <c r="B35" s="3"/>
      <c r="C35"/>
      <c r="D35" s="1"/>
      <c r="E35"/>
      <c r="F35" s="4"/>
      <c r="G35" s="5"/>
      <c r="H35"/>
      <c r="I35" s="6"/>
      <c r="J35" s="1"/>
      <c r="K35" s="1"/>
      <c r="L35" s="1"/>
      <c r="M35" s="1"/>
      <c r="N35" s="1"/>
      <c r="O35" s="1"/>
      <c r="P35" s="7"/>
      <c r="Q35" s="1"/>
      <c r="R35"/>
      <c r="S35"/>
      <c r="T35"/>
      <c r="U35"/>
      <c r="V35"/>
    </row>
  </sheetData>
  <mergeCells count="29">
    <mergeCell ref="I5:I6"/>
    <mergeCell ref="J5:J6"/>
    <mergeCell ref="K5:K6"/>
    <mergeCell ref="Q5:Q6"/>
    <mergeCell ref="L5:L6"/>
    <mergeCell ref="M5:M6"/>
    <mergeCell ref="N5:N6"/>
    <mergeCell ref="O5:O6"/>
    <mergeCell ref="P5:P6"/>
    <mergeCell ref="B5:C5"/>
    <mergeCell ref="D5:E5"/>
    <mergeCell ref="C1:C2"/>
    <mergeCell ref="G5:G6"/>
    <mergeCell ref="H5:H6"/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F3:F4"/>
    <mergeCell ref="G3:G4"/>
    <mergeCell ref="B4:C4"/>
    <mergeCell ref="D4:E4"/>
  </mergeCells>
  <pageMargins left="0.511811024" right="0.511811024" top="0.78740157499999996" bottom="0.78740157499999996" header="0.31496062000000002" footer="0.31496062000000002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34998626667073579"/>
  </sheetPr>
  <dimension ref="A1:V31"/>
  <sheetViews>
    <sheetView zoomScale="90" zoomScaleNormal="90" workbookViewId="0">
      <pane xSplit="5" ySplit="7" topLeftCell="F8" activePane="bottomRight" state="frozen"/>
      <selection pane="topRight"/>
      <selection pane="bottomLeft"/>
      <selection pane="bottomRight" activeCell="F11" sqref="F11:F13"/>
    </sheetView>
  </sheetViews>
  <sheetFormatPr defaultColWidth="9" defaultRowHeight="14.4"/>
  <cols>
    <col min="1" max="1" width="1.33203125" customWidth="1"/>
    <col min="2" max="2" width="5.6640625" style="3" customWidth="1"/>
    <col min="3" max="3" width="53.5546875" customWidth="1"/>
    <col min="4" max="4" width="13.109375" style="1" customWidth="1"/>
    <col min="5" max="5" width="10.44140625" customWidth="1"/>
    <col min="6" max="6" width="18.44140625" style="4" customWidth="1"/>
    <col min="7" max="7" width="12.88671875" style="5" customWidth="1"/>
    <col min="8" max="8" width="17.6640625" customWidth="1"/>
    <col min="9" max="9" width="17.109375" style="6" customWidth="1"/>
    <col min="10" max="10" width="14.33203125" style="1" customWidth="1"/>
    <col min="11" max="11" width="19.109375" style="1" customWidth="1"/>
    <col min="12" max="12" width="11.6640625" style="1" customWidth="1"/>
    <col min="13" max="13" width="15.6640625" style="1" customWidth="1"/>
    <col min="14" max="14" width="13.6640625" style="1" customWidth="1"/>
    <col min="15" max="15" width="17.109375" style="1" customWidth="1"/>
    <col min="16" max="16" width="11.6640625" style="7" customWidth="1"/>
    <col min="17" max="17" width="22.33203125" style="1" customWidth="1"/>
    <col min="18" max="18" width="2.44140625" customWidth="1"/>
  </cols>
  <sheetData>
    <row r="1" spans="2:17">
      <c r="B1" s="8"/>
      <c r="C1" s="109" t="s">
        <v>67</v>
      </c>
      <c r="D1" s="9"/>
      <c r="E1" s="10"/>
      <c r="F1" s="11"/>
      <c r="G1" s="12"/>
      <c r="H1" s="10"/>
      <c r="I1" s="35"/>
      <c r="J1" s="9"/>
      <c r="K1" s="9"/>
      <c r="L1" s="9"/>
      <c r="M1" s="9"/>
      <c r="N1" s="9"/>
      <c r="O1" s="9"/>
      <c r="P1" s="36"/>
      <c r="Q1" s="9"/>
    </row>
    <row r="2" spans="2:17">
      <c r="B2" s="8"/>
      <c r="C2" s="109"/>
      <c r="D2" s="9"/>
      <c r="E2" s="10"/>
      <c r="F2" s="11"/>
      <c r="G2" s="12"/>
      <c r="H2" s="11"/>
      <c r="I2" s="37"/>
      <c r="J2" s="86"/>
      <c r="K2" s="86"/>
      <c r="L2" s="86"/>
      <c r="M2" s="86"/>
      <c r="N2" s="87"/>
      <c r="O2" s="87"/>
      <c r="P2" s="86"/>
      <c r="Q2" s="86"/>
    </row>
    <row r="3" spans="2:17">
      <c r="B3" s="88" t="s">
        <v>1</v>
      </c>
      <c r="C3" s="89"/>
      <c r="D3" s="90">
        <f>I5+K5+M5+O5+Q5</f>
        <v>651263.81999999995</v>
      </c>
      <c r="E3" s="91"/>
      <c r="F3" s="98">
        <f>D3+D4</f>
        <v>659263.81999999995</v>
      </c>
      <c r="G3" s="100" t="s">
        <v>2</v>
      </c>
      <c r="H3" s="92" t="s">
        <v>3</v>
      </c>
      <c r="I3" s="92"/>
      <c r="J3" s="93" t="s">
        <v>4</v>
      </c>
      <c r="K3" s="93"/>
      <c r="L3" s="94" t="s">
        <v>5</v>
      </c>
      <c r="M3" s="94"/>
      <c r="N3" s="95" t="s">
        <v>6</v>
      </c>
      <c r="O3" s="96"/>
      <c r="P3" s="97" t="s">
        <v>7</v>
      </c>
      <c r="Q3" s="97"/>
    </row>
    <row r="4" spans="2:17">
      <c r="B4" s="101" t="s">
        <v>8</v>
      </c>
      <c r="C4" s="102"/>
      <c r="D4" s="103">
        <f>H5+J5+L5+N5+P5</f>
        <v>8000</v>
      </c>
      <c r="E4" s="104"/>
      <c r="F4" s="99"/>
      <c r="G4" s="100"/>
      <c r="H4" s="13" t="s">
        <v>9</v>
      </c>
      <c r="I4" s="38" t="s">
        <v>10</v>
      </c>
      <c r="J4" s="39" t="s">
        <v>9</v>
      </c>
      <c r="K4" s="40" t="s">
        <v>10</v>
      </c>
      <c r="L4" s="41" t="s">
        <v>9</v>
      </c>
      <c r="M4" s="42" t="s">
        <v>10</v>
      </c>
      <c r="N4" s="43" t="s">
        <v>9</v>
      </c>
      <c r="O4" s="44" t="s">
        <v>10</v>
      </c>
      <c r="P4" s="45" t="s">
        <v>9</v>
      </c>
      <c r="Q4" s="56" t="s">
        <v>10</v>
      </c>
    </row>
    <row r="5" spans="2:17">
      <c r="B5" s="105" t="s">
        <v>11</v>
      </c>
      <c r="C5" s="106"/>
      <c r="D5" s="107">
        <f>G5</f>
        <v>0</v>
      </c>
      <c r="E5" s="108"/>
      <c r="F5" s="11"/>
      <c r="G5" s="110">
        <f t="shared" ref="G5:Q5" si="0">G25</f>
        <v>0</v>
      </c>
      <c r="H5" s="112">
        <f t="shared" si="0"/>
        <v>0</v>
      </c>
      <c r="I5" s="114">
        <f t="shared" si="0"/>
        <v>0</v>
      </c>
      <c r="J5" s="112">
        <f t="shared" si="0"/>
        <v>8000</v>
      </c>
      <c r="K5" s="114">
        <f t="shared" si="0"/>
        <v>651263.81999999995</v>
      </c>
      <c r="L5" s="112">
        <f t="shared" si="0"/>
        <v>0</v>
      </c>
      <c r="M5" s="114">
        <f t="shared" si="0"/>
        <v>0</v>
      </c>
      <c r="N5" s="116">
        <f t="shared" si="0"/>
        <v>0</v>
      </c>
      <c r="O5" s="118">
        <f t="shared" si="0"/>
        <v>0</v>
      </c>
      <c r="P5" s="112">
        <f t="shared" si="0"/>
        <v>0</v>
      </c>
      <c r="Q5" s="114">
        <f t="shared" si="0"/>
        <v>0</v>
      </c>
    </row>
    <row r="6" spans="2:17" s="1" customFormat="1" ht="4.5" customHeight="1">
      <c r="B6" s="8"/>
      <c r="C6" s="9"/>
      <c r="D6" s="9"/>
      <c r="E6" s="10"/>
      <c r="F6" s="11"/>
      <c r="G6" s="111"/>
      <c r="H6" s="113"/>
      <c r="I6" s="115"/>
      <c r="J6" s="113"/>
      <c r="K6" s="115"/>
      <c r="L6" s="113"/>
      <c r="M6" s="115"/>
      <c r="N6" s="117"/>
      <c r="O6" s="119"/>
      <c r="P6" s="113"/>
      <c r="Q6" s="115"/>
    </row>
    <row r="7" spans="2:17" s="1" customFormat="1">
      <c r="B7" s="14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6" t="s">
        <v>17</v>
      </c>
      <c r="H7" s="17" t="s">
        <v>9</v>
      </c>
      <c r="I7" s="46" t="s">
        <v>10</v>
      </c>
      <c r="J7" s="17" t="s">
        <v>9</v>
      </c>
      <c r="K7" s="46" t="s">
        <v>10</v>
      </c>
      <c r="L7" s="17" t="s">
        <v>9</v>
      </c>
      <c r="M7" s="46" t="s">
        <v>10</v>
      </c>
      <c r="N7" s="17" t="s">
        <v>9</v>
      </c>
      <c r="O7" s="46" t="s">
        <v>10</v>
      </c>
      <c r="P7" s="17" t="s">
        <v>9</v>
      </c>
      <c r="Q7" s="46" t="s">
        <v>10</v>
      </c>
    </row>
    <row r="8" spans="2:17">
      <c r="B8" s="18">
        <v>46061</v>
      </c>
      <c r="C8" s="25" t="s">
        <v>57</v>
      </c>
      <c r="D8" s="70" t="s">
        <v>19</v>
      </c>
      <c r="F8" s="22" t="s">
        <v>37</v>
      </c>
      <c r="G8" s="71"/>
      <c r="H8" s="48"/>
      <c r="I8" s="47"/>
      <c r="J8" s="17">
        <v>8000</v>
      </c>
      <c r="K8" s="47"/>
      <c r="L8" s="17"/>
      <c r="M8" s="47"/>
      <c r="N8" s="48"/>
      <c r="O8" s="49"/>
      <c r="P8" s="48"/>
      <c r="Q8" s="57"/>
    </row>
    <row r="9" spans="2:17">
      <c r="B9" s="18">
        <v>46062</v>
      </c>
      <c r="C9" s="25" t="s">
        <v>58</v>
      </c>
      <c r="D9" s="70" t="s">
        <v>19</v>
      </c>
      <c r="F9" s="22" t="s">
        <v>37</v>
      </c>
      <c r="G9" s="71"/>
      <c r="H9" s="48"/>
      <c r="I9" s="47"/>
      <c r="J9" s="17"/>
      <c r="K9" s="47">
        <v>559000</v>
      </c>
      <c r="L9" s="17"/>
      <c r="M9" s="47"/>
      <c r="N9" s="48"/>
      <c r="O9" s="49"/>
      <c r="P9" s="48"/>
      <c r="Q9" s="57"/>
    </row>
    <row r="10" spans="2:17">
      <c r="B10" s="18">
        <v>46064</v>
      </c>
      <c r="C10" s="25" t="s">
        <v>59</v>
      </c>
      <c r="D10" s="70" t="s">
        <v>19</v>
      </c>
      <c r="F10" s="22" t="s">
        <v>37</v>
      </c>
      <c r="G10" s="71"/>
      <c r="H10" s="48"/>
      <c r="I10" s="47"/>
      <c r="J10" s="17"/>
      <c r="K10" s="47">
        <v>48687.21</v>
      </c>
      <c r="L10" s="17"/>
      <c r="M10" s="47"/>
      <c r="N10" s="48"/>
      <c r="O10" s="49"/>
      <c r="P10" s="48"/>
      <c r="Q10" s="57"/>
    </row>
    <row r="11" spans="2:17">
      <c r="B11" s="18">
        <v>46072</v>
      </c>
      <c r="C11" s="25" t="s">
        <v>60</v>
      </c>
      <c r="D11" s="70" t="s">
        <v>19</v>
      </c>
      <c r="F11" s="22" t="s">
        <v>37</v>
      </c>
      <c r="G11" s="71"/>
      <c r="H11" s="48"/>
      <c r="I11" s="47"/>
      <c r="J11" s="17"/>
      <c r="K11" s="47">
        <v>17400</v>
      </c>
      <c r="L11" s="17"/>
      <c r="M11" s="47"/>
      <c r="N11" s="48"/>
      <c r="O11" s="49"/>
      <c r="P11" s="48"/>
      <c r="Q11" s="57"/>
    </row>
    <row r="12" spans="2:17">
      <c r="B12" s="18">
        <v>46080</v>
      </c>
      <c r="C12" s="25" t="s">
        <v>61</v>
      </c>
      <c r="D12" s="20" t="s">
        <v>19</v>
      </c>
      <c r="E12" s="70"/>
      <c r="F12" s="22" t="s">
        <v>37</v>
      </c>
      <c r="G12" s="71"/>
      <c r="H12" s="48"/>
      <c r="I12" s="47"/>
      <c r="J12" s="17"/>
      <c r="K12" s="47">
        <v>12728.57</v>
      </c>
      <c r="L12" s="17"/>
      <c r="M12" s="47"/>
      <c r="N12" s="48"/>
      <c r="O12" s="49"/>
      <c r="P12" s="48"/>
      <c r="Q12" s="57"/>
    </row>
    <row r="13" spans="2:17">
      <c r="B13" s="18">
        <v>46080</v>
      </c>
      <c r="C13" s="19" t="s">
        <v>62</v>
      </c>
      <c r="D13" s="20" t="s">
        <v>19</v>
      </c>
      <c r="E13" s="70"/>
      <c r="F13" s="22" t="s">
        <v>37</v>
      </c>
      <c r="G13" s="71"/>
      <c r="H13" s="48"/>
      <c r="I13" s="47"/>
      <c r="J13" s="17"/>
      <c r="K13" s="47">
        <v>13448.04</v>
      </c>
      <c r="L13" s="17"/>
      <c r="M13" s="47"/>
      <c r="N13" s="48"/>
      <c r="O13" s="49"/>
      <c r="P13" s="48"/>
      <c r="Q13" s="57"/>
    </row>
    <row r="14" spans="2:17">
      <c r="B14" s="18"/>
      <c r="C14" s="19"/>
      <c r="D14" s="20"/>
      <c r="E14" s="70"/>
      <c r="F14" s="22"/>
      <c r="G14" s="71"/>
      <c r="H14" s="48"/>
      <c r="I14" s="47"/>
      <c r="J14" s="17"/>
      <c r="K14" s="47"/>
      <c r="L14" s="17"/>
      <c r="M14" s="47"/>
      <c r="N14" s="48"/>
      <c r="O14" s="49"/>
      <c r="P14" s="48"/>
      <c r="Q14" s="57"/>
    </row>
    <row r="15" spans="2:17">
      <c r="B15" s="18"/>
      <c r="C15" s="25"/>
      <c r="D15" s="20"/>
      <c r="E15" s="70"/>
      <c r="F15" s="22"/>
      <c r="G15" s="71"/>
      <c r="H15" s="48"/>
      <c r="I15" s="47"/>
      <c r="J15" s="17"/>
      <c r="K15" s="47"/>
      <c r="L15" s="17"/>
      <c r="M15" s="47"/>
      <c r="N15" s="48"/>
      <c r="O15" s="49"/>
      <c r="P15" s="48"/>
      <c r="Q15" s="57"/>
    </row>
    <row r="16" spans="2:17">
      <c r="B16" s="18"/>
      <c r="C16" s="25"/>
      <c r="D16" s="20"/>
      <c r="E16" s="70"/>
      <c r="F16" s="22"/>
      <c r="G16" s="71"/>
      <c r="H16" s="48"/>
      <c r="I16" s="47"/>
      <c r="J16" s="17"/>
      <c r="K16" s="47"/>
      <c r="L16" s="17"/>
      <c r="M16" s="47"/>
      <c r="N16" s="48"/>
      <c r="O16" s="49"/>
      <c r="P16" s="48"/>
      <c r="Q16" s="57"/>
    </row>
    <row r="17" spans="1:22">
      <c r="B17" s="18"/>
      <c r="C17" s="25"/>
      <c r="D17" s="20"/>
      <c r="E17" s="70"/>
      <c r="F17" s="22"/>
      <c r="G17" s="71"/>
      <c r="H17" s="48"/>
      <c r="I17" s="47"/>
      <c r="J17" s="17"/>
      <c r="K17" s="47"/>
      <c r="L17" s="17"/>
      <c r="M17" s="47"/>
      <c r="N17" s="48"/>
      <c r="O17" s="49"/>
      <c r="P17" s="48"/>
      <c r="Q17" s="57"/>
    </row>
    <row r="18" spans="1:22">
      <c r="B18" s="18"/>
      <c r="C18" s="25"/>
      <c r="D18" s="20"/>
      <c r="E18" s="70"/>
      <c r="F18" s="22"/>
      <c r="G18" s="71"/>
      <c r="H18" s="48"/>
      <c r="I18" s="47"/>
      <c r="J18" s="17"/>
      <c r="K18" s="47"/>
      <c r="L18" s="17"/>
      <c r="M18" s="47"/>
      <c r="N18" s="48"/>
      <c r="O18" s="49"/>
      <c r="P18" s="48"/>
      <c r="Q18" s="57"/>
    </row>
    <row r="19" spans="1:22">
      <c r="B19" s="18"/>
      <c r="C19" s="25"/>
      <c r="D19" s="20"/>
      <c r="E19" s="70"/>
      <c r="F19" s="22"/>
      <c r="G19" s="71"/>
      <c r="H19" s="48"/>
      <c r="I19" s="47"/>
      <c r="J19" s="17"/>
      <c r="K19" s="47"/>
      <c r="L19" s="17"/>
      <c r="M19" s="47"/>
      <c r="N19" s="48"/>
      <c r="O19" s="49"/>
      <c r="P19" s="48"/>
      <c r="Q19" s="57"/>
    </row>
    <row r="20" spans="1:22">
      <c r="B20" s="18"/>
      <c r="C20" s="25"/>
      <c r="D20" s="20"/>
      <c r="E20" s="27"/>
      <c r="F20" s="22"/>
      <c r="G20" s="23"/>
      <c r="H20" s="24"/>
      <c r="I20" s="47"/>
      <c r="J20" s="17"/>
      <c r="K20" s="47"/>
      <c r="L20" s="17"/>
      <c r="M20" s="47"/>
      <c r="N20" s="24"/>
      <c r="O20" s="77"/>
      <c r="P20" s="48"/>
      <c r="Q20" s="57"/>
    </row>
    <row r="21" spans="1:22">
      <c r="B21" s="18"/>
      <c r="C21" s="19"/>
      <c r="D21" s="20"/>
      <c r="E21" s="27"/>
      <c r="F21" s="22"/>
      <c r="G21" s="23"/>
      <c r="H21" s="24"/>
      <c r="I21" s="47"/>
      <c r="J21" s="17"/>
      <c r="K21" s="47"/>
      <c r="L21" s="17"/>
      <c r="M21" s="47"/>
      <c r="N21" s="48"/>
      <c r="O21" s="49"/>
      <c r="P21" s="48"/>
      <c r="Q21" s="57"/>
    </row>
    <row r="22" spans="1:22">
      <c r="B22" s="18"/>
      <c r="C22" s="19"/>
      <c r="D22" s="20"/>
      <c r="E22" s="72"/>
      <c r="F22" s="22"/>
      <c r="G22" s="23"/>
      <c r="H22" s="24"/>
      <c r="I22" s="47"/>
      <c r="J22" s="17"/>
      <c r="K22" s="47"/>
      <c r="L22" s="17"/>
      <c r="M22" s="47"/>
      <c r="N22" s="48"/>
      <c r="O22" s="49"/>
      <c r="P22" s="48"/>
      <c r="Q22" s="57"/>
    </row>
    <row r="23" spans="1:22">
      <c r="B23" s="18"/>
      <c r="C23" s="19"/>
      <c r="D23" s="20"/>
      <c r="E23" s="72"/>
      <c r="F23" s="22"/>
      <c r="G23" s="23"/>
      <c r="H23" s="24"/>
      <c r="I23" s="47"/>
      <c r="J23" s="17"/>
      <c r="K23" s="47"/>
      <c r="L23" s="17"/>
      <c r="M23" s="47"/>
      <c r="N23" s="48"/>
      <c r="O23" s="49"/>
      <c r="P23" s="48"/>
      <c r="Q23" s="57"/>
    </row>
    <row r="24" spans="1:22">
      <c r="B24" s="18"/>
      <c r="C24" s="73"/>
      <c r="D24" s="74"/>
      <c r="E24" s="75"/>
      <c r="F24" s="76"/>
      <c r="G24" s="23"/>
      <c r="H24" s="62"/>
      <c r="I24" s="69"/>
      <c r="J24" s="68"/>
      <c r="K24" s="69"/>
      <c r="L24" s="17"/>
      <c r="M24" s="47"/>
      <c r="N24" s="48"/>
      <c r="O24" s="49"/>
      <c r="P24" s="48"/>
      <c r="Q24" s="57"/>
    </row>
    <row r="25" spans="1:22">
      <c r="B25" s="29"/>
      <c r="C25" s="30"/>
      <c r="D25" s="31"/>
      <c r="E25" s="32"/>
      <c r="F25" s="31"/>
      <c r="G25" s="33">
        <f t="shared" ref="G25:Q25" si="1">SUM(G8:G24)</f>
        <v>0</v>
      </c>
      <c r="H25" s="34">
        <f t="shared" si="1"/>
        <v>0</v>
      </c>
      <c r="I25" s="50">
        <f t="shared" si="1"/>
        <v>0</v>
      </c>
      <c r="J25" s="51">
        <f t="shared" si="1"/>
        <v>8000</v>
      </c>
      <c r="K25" s="52">
        <f t="shared" si="1"/>
        <v>651263.81999999995</v>
      </c>
      <c r="L25" s="53">
        <f t="shared" si="1"/>
        <v>0</v>
      </c>
      <c r="M25" s="54">
        <f t="shared" si="1"/>
        <v>0</v>
      </c>
      <c r="N25" s="55">
        <f t="shared" si="1"/>
        <v>0</v>
      </c>
      <c r="O25" s="55">
        <f t="shared" si="1"/>
        <v>0</v>
      </c>
      <c r="P25" s="34">
        <f t="shared" si="1"/>
        <v>0</v>
      </c>
      <c r="Q25" s="58">
        <f t="shared" si="1"/>
        <v>0</v>
      </c>
    </row>
    <row r="26" spans="1:22">
      <c r="A26" s="6"/>
    </row>
    <row r="27" spans="1:22">
      <c r="A27" s="6"/>
    </row>
    <row r="28" spans="1:22">
      <c r="A28" s="6"/>
    </row>
    <row r="29" spans="1:22">
      <c r="A29" s="6"/>
    </row>
    <row r="30" spans="1:22">
      <c r="A30" s="6"/>
    </row>
    <row r="31" spans="1:22" s="2" customFormat="1">
      <c r="A31" s="6"/>
      <c r="B31" s="3"/>
      <c r="C31"/>
      <c r="D31" s="1"/>
      <c r="E31"/>
      <c r="F31" s="4"/>
      <c r="G31" s="5"/>
      <c r="H31"/>
      <c r="I31" s="6"/>
      <c r="J31" s="1"/>
      <c r="K31" s="1"/>
      <c r="L31" s="1"/>
      <c r="M31" s="1"/>
      <c r="N31" s="1"/>
      <c r="O31" s="1"/>
      <c r="P31" s="7"/>
      <c r="Q31" s="1"/>
      <c r="R31"/>
      <c r="S31"/>
      <c r="T31"/>
      <c r="U31"/>
      <c r="V31"/>
    </row>
  </sheetData>
  <mergeCells count="29">
    <mergeCell ref="I5:I6"/>
    <mergeCell ref="J5:J6"/>
    <mergeCell ref="K5:K6"/>
    <mergeCell ref="Q5:Q6"/>
    <mergeCell ref="L5:L6"/>
    <mergeCell ref="M5:M6"/>
    <mergeCell ref="N5:N6"/>
    <mergeCell ref="O5:O6"/>
    <mergeCell ref="P5:P6"/>
    <mergeCell ref="B5:C5"/>
    <mergeCell ref="D5:E5"/>
    <mergeCell ref="C1:C2"/>
    <mergeCell ref="G5:G6"/>
    <mergeCell ref="H5:H6"/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F3:F4"/>
    <mergeCell ref="G3:G4"/>
    <mergeCell ref="B4:C4"/>
    <mergeCell ref="D4:E4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34998626667073579"/>
  </sheetPr>
  <dimension ref="A1:V35"/>
  <sheetViews>
    <sheetView tabSelected="1" zoomScale="90" zoomScaleNormal="90" workbookViewId="0">
      <pane xSplit="5" ySplit="7" topLeftCell="F8" activePane="bottomRight" state="frozen"/>
      <selection pane="topRight"/>
      <selection pane="bottomLeft"/>
      <selection pane="bottomRight" activeCell="J19" sqref="J19"/>
    </sheetView>
  </sheetViews>
  <sheetFormatPr defaultColWidth="9" defaultRowHeight="14.4"/>
  <cols>
    <col min="1" max="1" width="1.33203125" customWidth="1"/>
    <col min="2" max="2" width="5.6640625" style="3" customWidth="1"/>
    <col min="3" max="3" width="53.5546875" customWidth="1"/>
    <col min="4" max="4" width="8.44140625" style="1" customWidth="1"/>
    <col min="5" max="5" width="10.44140625" customWidth="1"/>
    <col min="6" max="6" width="18.44140625" style="4" customWidth="1"/>
    <col min="7" max="7" width="12.88671875" style="5" customWidth="1"/>
    <col min="8" max="8" width="17.6640625" customWidth="1"/>
    <col min="9" max="9" width="17.109375" style="6" customWidth="1"/>
    <col min="10" max="10" width="14.33203125" style="1" customWidth="1"/>
    <col min="11" max="11" width="19.109375" style="1" customWidth="1"/>
    <col min="12" max="12" width="11.6640625" style="1" customWidth="1"/>
    <col min="13" max="13" width="15.6640625" style="1" customWidth="1"/>
    <col min="14" max="14" width="13.6640625" style="1" customWidth="1"/>
    <col min="15" max="15" width="17.109375" style="1" customWidth="1"/>
    <col min="16" max="16" width="11.6640625" style="7" customWidth="1"/>
    <col min="17" max="17" width="22.33203125" style="1" customWidth="1"/>
    <col min="18" max="18" width="2.44140625" customWidth="1"/>
  </cols>
  <sheetData>
    <row r="1" spans="2:17">
      <c r="B1" s="8"/>
      <c r="C1" s="109" t="s">
        <v>63</v>
      </c>
      <c r="D1" s="9"/>
      <c r="E1" s="10"/>
      <c r="F1" s="11"/>
      <c r="G1" s="12"/>
      <c r="H1" s="10"/>
      <c r="I1" s="35"/>
      <c r="J1" s="9"/>
      <c r="K1" s="9"/>
      <c r="L1" s="9"/>
      <c r="M1" s="9"/>
      <c r="N1" s="9"/>
      <c r="O1" s="9"/>
      <c r="P1" s="36"/>
      <c r="Q1" s="9"/>
    </row>
    <row r="2" spans="2:17">
      <c r="B2" s="8"/>
      <c r="C2" s="109"/>
      <c r="D2" s="9"/>
      <c r="E2" s="10"/>
      <c r="F2" s="11"/>
      <c r="G2" s="12"/>
      <c r="H2" s="11"/>
      <c r="I2" s="37"/>
      <c r="J2" s="86"/>
      <c r="K2" s="86"/>
      <c r="L2" s="86"/>
      <c r="M2" s="86"/>
      <c r="N2" s="87"/>
      <c r="O2" s="87"/>
      <c r="P2" s="86"/>
      <c r="Q2" s="86"/>
    </row>
    <row r="3" spans="2:17">
      <c r="B3" s="88" t="s">
        <v>1</v>
      </c>
      <c r="C3" s="89"/>
      <c r="D3" s="90">
        <f>I5+K5+M5+O5+Q5</f>
        <v>899175.24</v>
      </c>
      <c r="E3" s="91"/>
      <c r="F3" s="98">
        <f>D3+D4</f>
        <v>902475.24</v>
      </c>
      <c r="G3" s="100" t="s">
        <v>2</v>
      </c>
      <c r="H3" s="92" t="s">
        <v>3</v>
      </c>
      <c r="I3" s="92"/>
      <c r="J3" s="93" t="s">
        <v>4</v>
      </c>
      <c r="K3" s="93"/>
      <c r="L3" s="94" t="s">
        <v>5</v>
      </c>
      <c r="M3" s="94"/>
      <c r="N3" s="95" t="s">
        <v>6</v>
      </c>
      <c r="O3" s="96"/>
      <c r="P3" s="97" t="s">
        <v>7</v>
      </c>
      <c r="Q3" s="97"/>
    </row>
    <row r="4" spans="2:17">
      <c r="B4" s="101" t="s">
        <v>8</v>
      </c>
      <c r="C4" s="102"/>
      <c r="D4" s="103">
        <f>H5+J5+L5+N5+P5</f>
        <v>3300</v>
      </c>
      <c r="E4" s="104"/>
      <c r="F4" s="99"/>
      <c r="G4" s="100"/>
      <c r="H4" s="13" t="s">
        <v>9</v>
      </c>
      <c r="I4" s="38" t="s">
        <v>10</v>
      </c>
      <c r="J4" s="39" t="s">
        <v>9</v>
      </c>
      <c r="K4" s="40" t="s">
        <v>10</v>
      </c>
      <c r="L4" s="41" t="s">
        <v>9</v>
      </c>
      <c r="M4" s="42" t="s">
        <v>10</v>
      </c>
      <c r="N4" s="43" t="s">
        <v>9</v>
      </c>
      <c r="O4" s="44" t="s">
        <v>10</v>
      </c>
      <c r="P4" s="45" t="s">
        <v>9</v>
      </c>
      <c r="Q4" s="56" t="s">
        <v>10</v>
      </c>
    </row>
    <row r="5" spans="2:17">
      <c r="B5" s="105" t="s">
        <v>11</v>
      </c>
      <c r="C5" s="106"/>
      <c r="D5" s="107">
        <f>G5</f>
        <v>0</v>
      </c>
      <c r="E5" s="108"/>
      <c r="F5" s="11"/>
      <c r="G5" s="110">
        <f t="shared" ref="G5:Q5" si="0">G29</f>
        <v>0</v>
      </c>
      <c r="H5" s="112">
        <f t="shared" si="0"/>
        <v>0</v>
      </c>
      <c r="I5" s="114">
        <f t="shared" si="0"/>
        <v>0</v>
      </c>
      <c r="J5" s="112">
        <f t="shared" si="0"/>
        <v>3300</v>
      </c>
      <c r="K5" s="114">
        <f t="shared" si="0"/>
        <v>890775.24</v>
      </c>
      <c r="L5" s="112">
        <f t="shared" si="0"/>
        <v>0</v>
      </c>
      <c r="M5" s="114">
        <f t="shared" si="0"/>
        <v>0</v>
      </c>
      <c r="N5" s="116">
        <f t="shared" si="0"/>
        <v>0</v>
      </c>
      <c r="O5" s="118">
        <f t="shared" si="0"/>
        <v>8400</v>
      </c>
      <c r="P5" s="112">
        <f t="shared" si="0"/>
        <v>0</v>
      </c>
      <c r="Q5" s="114">
        <f t="shared" si="0"/>
        <v>0</v>
      </c>
    </row>
    <row r="6" spans="2:17" s="1" customFormat="1" ht="4.5" customHeight="1">
      <c r="B6" s="8"/>
      <c r="C6" s="9"/>
      <c r="D6" s="9"/>
      <c r="E6" s="10"/>
      <c r="F6" s="11"/>
      <c r="G6" s="111"/>
      <c r="H6" s="113"/>
      <c r="I6" s="115"/>
      <c r="J6" s="113"/>
      <c r="K6" s="115"/>
      <c r="L6" s="113"/>
      <c r="M6" s="115"/>
      <c r="N6" s="117"/>
      <c r="O6" s="119"/>
      <c r="P6" s="113"/>
      <c r="Q6" s="115"/>
    </row>
    <row r="7" spans="2:17" s="1" customFormat="1">
      <c r="B7" s="14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6" t="s">
        <v>17</v>
      </c>
      <c r="H7" s="17" t="s">
        <v>9</v>
      </c>
      <c r="I7" s="46" t="s">
        <v>10</v>
      </c>
      <c r="J7" s="17" t="s">
        <v>9</v>
      </c>
      <c r="K7" s="46" t="s">
        <v>10</v>
      </c>
      <c r="L7" s="17" t="s">
        <v>9</v>
      </c>
      <c r="M7" s="46" t="s">
        <v>10</v>
      </c>
      <c r="N7" s="17" t="s">
        <v>9</v>
      </c>
      <c r="O7" s="46" t="s">
        <v>10</v>
      </c>
      <c r="P7" s="17" t="s">
        <v>9</v>
      </c>
      <c r="Q7" s="46" t="s">
        <v>10</v>
      </c>
    </row>
    <row r="8" spans="2:17">
      <c r="B8" s="18">
        <v>46083</v>
      </c>
      <c r="C8" s="25" t="s">
        <v>64</v>
      </c>
      <c r="D8" s="20" t="s">
        <v>19</v>
      </c>
      <c r="E8" s="21" t="s">
        <v>19</v>
      </c>
      <c r="F8" s="84" t="s">
        <v>37</v>
      </c>
      <c r="G8" s="23"/>
      <c r="H8" s="24"/>
      <c r="I8" s="47"/>
      <c r="J8" s="17"/>
      <c r="K8" s="47"/>
      <c r="L8" s="17"/>
      <c r="M8" s="47"/>
      <c r="N8" s="48"/>
      <c r="O8" s="85">
        <v>6900</v>
      </c>
      <c r="P8" s="48"/>
      <c r="Q8" s="57"/>
    </row>
    <row r="9" spans="2:17">
      <c r="B9" s="18">
        <v>46083</v>
      </c>
      <c r="C9" s="25" t="s">
        <v>51</v>
      </c>
      <c r="D9" s="20" t="s">
        <v>19</v>
      </c>
      <c r="E9" s="21" t="s">
        <v>19</v>
      </c>
      <c r="F9" s="84" t="s">
        <v>37</v>
      </c>
      <c r="G9" s="23"/>
      <c r="H9" s="24"/>
      <c r="I9" s="47"/>
      <c r="J9" s="17"/>
      <c r="K9" s="47">
        <v>31000</v>
      </c>
      <c r="L9" s="17"/>
      <c r="M9" s="47"/>
      <c r="N9" s="48"/>
      <c r="O9" s="85"/>
      <c r="P9" s="48"/>
      <c r="Q9" s="57"/>
    </row>
    <row r="10" spans="2:17">
      <c r="B10" s="18">
        <v>46089</v>
      </c>
      <c r="C10" s="25" t="s">
        <v>65</v>
      </c>
      <c r="D10" s="20" t="s">
        <v>19</v>
      </c>
      <c r="E10" s="21" t="s">
        <v>19</v>
      </c>
      <c r="F10" s="84" t="s">
        <v>37</v>
      </c>
      <c r="G10" s="23"/>
      <c r="H10" s="24"/>
      <c r="I10" s="47"/>
      <c r="J10" s="17"/>
      <c r="K10" s="47">
        <v>14800</v>
      </c>
      <c r="L10" s="17"/>
      <c r="M10" s="47"/>
      <c r="N10" s="48"/>
      <c r="O10" s="85"/>
      <c r="P10" s="48"/>
      <c r="Q10" s="57"/>
    </row>
    <row r="11" spans="2:17">
      <c r="B11" s="18">
        <v>46090</v>
      </c>
      <c r="C11" s="25" t="s">
        <v>44</v>
      </c>
      <c r="D11" s="20" t="s">
        <v>19</v>
      </c>
      <c r="E11" s="21" t="s">
        <v>69</v>
      </c>
      <c r="F11" s="84" t="s">
        <v>37</v>
      </c>
      <c r="G11" s="23"/>
      <c r="H11" s="24"/>
      <c r="I11" s="47"/>
      <c r="J11" s="17"/>
      <c r="K11" s="47">
        <v>646480</v>
      </c>
      <c r="L11" s="17"/>
      <c r="M11" s="47"/>
      <c r="N11" s="48"/>
      <c r="O11" s="85"/>
      <c r="P11" s="48"/>
      <c r="Q11" s="57"/>
    </row>
    <row r="12" spans="2:17">
      <c r="B12" s="18">
        <v>46090</v>
      </c>
      <c r="C12" s="25" t="s">
        <v>44</v>
      </c>
      <c r="D12" s="20" t="s">
        <v>19</v>
      </c>
      <c r="E12" s="21" t="s">
        <v>70</v>
      </c>
      <c r="F12" s="84" t="s">
        <v>37</v>
      </c>
      <c r="G12" s="23"/>
      <c r="H12" s="24"/>
      <c r="I12" s="47"/>
      <c r="J12" s="17"/>
      <c r="K12" s="47">
        <v>91760</v>
      </c>
      <c r="L12" s="17"/>
      <c r="M12" s="47"/>
      <c r="N12" s="48"/>
      <c r="O12" s="85"/>
      <c r="P12" s="48"/>
      <c r="Q12" s="57"/>
    </row>
    <row r="13" spans="2:17">
      <c r="B13" s="18">
        <v>46090</v>
      </c>
      <c r="C13" s="25" t="s">
        <v>71</v>
      </c>
      <c r="D13" s="20" t="s">
        <v>72</v>
      </c>
      <c r="E13" s="21"/>
      <c r="F13" s="84" t="s">
        <v>37</v>
      </c>
      <c r="G13" s="23"/>
      <c r="H13" s="24"/>
      <c r="I13" s="47"/>
      <c r="J13" s="17"/>
      <c r="K13" s="47"/>
      <c r="L13" s="17"/>
      <c r="M13" s="47"/>
      <c r="N13" s="48"/>
      <c r="O13" s="85">
        <v>1500</v>
      </c>
      <c r="P13" s="48"/>
      <c r="Q13" s="57"/>
    </row>
    <row r="14" spans="2:17">
      <c r="B14" s="18">
        <v>46091</v>
      </c>
      <c r="C14" s="25" t="s">
        <v>78</v>
      </c>
      <c r="D14" s="20" t="s">
        <v>72</v>
      </c>
      <c r="E14" s="21" t="s">
        <v>79</v>
      </c>
      <c r="F14" s="84" t="s">
        <v>37</v>
      </c>
      <c r="G14" s="23"/>
      <c r="H14" s="24"/>
      <c r="I14" s="47"/>
      <c r="J14" s="17"/>
      <c r="K14" s="47">
        <v>1500</v>
      </c>
      <c r="L14" s="17"/>
      <c r="M14" s="47"/>
      <c r="N14" s="48"/>
      <c r="O14" s="85"/>
      <c r="P14" s="48"/>
      <c r="Q14" s="57"/>
    </row>
    <row r="15" spans="2:17">
      <c r="B15" s="18">
        <v>46093</v>
      </c>
      <c r="C15" s="25" t="s">
        <v>66</v>
      </c>
      <c r="D15" s="20" t="s">
        <v>19</v>
      </c>
      <c r="E15" s="27" t="s">
        <v>19</v>
      </c>
      <c r="F15" s="84" t="s">
        <v>37</v>
      </c>
      <c r="G15" s="23"/>
      <c r="H15" s="60"/>
      <c r="I15" s="47"/>
      <c r="J15" s="17"/>
      <c r="K15" s="47">
        <v>87835.24</v>
      </c>
      <c r="L15" s="17"/>
      <c r="M15" s="47"/>
      <c r="N15" s="48"/>
      <c r="O15" s="49"/>
      <c r="P15" s="48"/>
      <c r="Q15" s="57"/>
    </row>
    <row r="16" spans="2:17">
      <c r="B16" s="18">
        <v>46101</v>
      </c>
      <c r="C16" s="25" t="s">
        <v>51</v>
      </c>
      <c r="D16" s="20" t="s">
        <v>19</v>
      </c>
      <c r="E16" s="61" t="s">
        <v>73</v>
      </c>
      <c r="F16" s="83" t="s">
        <v>21</v>
      </c>
      <c r="G16" s="23"/>
      <c r="H16" s="24"/>
      <c r="I16" s="47"/>
      <c r="J16" s="17"/>
      <c r="K16" s="47">
        <v>14400</v>
      </c>
      <c r="L16" s="17"/>
      <c r="M16" s="47"/>
      <c r="N16" s="24"/>
      <c r="O16" s="47"/>
      <c r="P16" s="48"/>
      <c r="Q16" s="57"/>
    </row>
    <row r="17" spans="1:17">
      <c r="B17" s="18">
        <v>46108</v>
      </c>
      <c r="C17" s="25" t="s">
        <v>74</v>
      </c>
      <c r="D17" s="20" t="s">
        <v>19</v>
      </c>
      <c r="E17" s="61" t="s">
        <v>75</v>
      </c>
      <c r="F17" s="83" t="s">
        <v>21</v>
      </c>
      <c r="G17" s="23"/>
      <c r="H17" s="24"/>
      <c r="I17" s="47"/>
      <c r="J17" s="17">
        <v>1500</v>
      </c>
      <c r="K17" s="47"/>
      <c r="L17" s="17"/>
      <c r="M17" s="47"/>
      <c r="N17" s="24"/>
      <c r="O17" s="47"/>
      <c r="P17" s="48"/>
      <c r="Q17" s="57"/>
    </row>
    <row r="18" spans="1:17">
      <c r="B18" s="18">
        <v>46109</v>
      </c>
      <c r="C18" s="25" t="s">
        <v>80</v>
      </c>
      <c r="D18" s="20" t="s">
        <v>19</v>
      </c>
      <c r="E18" s="61"/>
      <c r="F18" s="83" t="s">
        <v>21</v>
      </c>
      <c r="G18" s="23"/>
      <c r="H18" s="24"/>
      <c r="I18" s="47"/>
      <c r="J18" s="17">
        <v>1800</v>
      </c>
      <c r="K18" s="47"/>
      <c r="L18" s="17"/>
      <c r="M18" s="47"/>
      <c r="N18" s="24"/>
      <c r="O18" s="47"/>
      <c r="P18" s="48"/>
      <c r="Q18" s="57"/>
    </row>
    <row r="19" spans="1:17">
      <c r="B19" s="18">
        <v>46111</v>
      </c>
      <c r="C19" s="25" t="s">
        <v>74</v>
      </c>
      <c r="D19" s="20" t="s">
        <v>19</v>
      </c>
      <c r="E19" s="61" t="s">
        <v>76</v>
      </c>
      <c r="F19" s="83" t="s">
        <v>21</v>
      </c>
      <c r="G19" s="23"/>
      <c r="H19" s="24"/>
      <c r="I19" s="47"/>
      <c r="J19" s="17"/>
      <c r="K19" s="47">
        <v>1500</v>
      </c>
      <c r="L19" s="17"/>
      <c r="M19" s="47"/>
      <c r="N19" s="24"/>
      <c r="O19" s="47"/>
      <c r="P19" s="48"/>
      <c r="Q19" s="57"/>
    </row>
    <row r="20" spans="1:17">
      <c r="B20" s="18">
        <v>46112</v>
      </c>
      <c r="C20" s="25" t="s">
        <v>74</v>
      </c>
      <c r="D20" s="20" t="s">
        <v>19</v>
      </c>
      <c r="E20" s="61" t="s">
        <v>77</v>
      </c>
      <c r="F20" s="83" t="s">
        <v>21</v>
      </c>
      <c r="G20" s="23"/>
      <c r="H20" s="24"/>
      <c r="I20" s="47"/>
      <c r="J20" s="17"/>
      <c r="K20" s="47">
        <v>1500</v>
      </c>
      <c r="L20" s="17"/>
      <c r="M20" s="47"/>
      <c r="N20" s="24"/>
      <c r="O20" s="47"/>
      <c r="P20" s="48"/>
      <c r="Q20" s="57"/>
    </row>
    <row r="21" spans="1:17">
      <c r="B21" s="18"/>
      <c r="C21" s="25"/>
      <c r="D21" s="20"/>
      <c r="E21" s="61"/>
      <c r="F21" s="59"/>
      <c r="G21" s="23"/>
      <c r="H21" s="62"/>
      <c r="I21" s="47"/>
      <c r="J21" s="68"/>
      <c r="K21" s="69"/>
      <c r="L21" s="17"/>
      <c r="M21" s="47"/>
      <c r="N21" s="24"/>
      <c r="O21" s="47"/>
      <c r="P21" s="48"/>
      <c r="Q21" s="57"/>
    </row>
    <row r="22" spans="1:17">
      <c r="B22" s="18"/>
      <c r="C22" s="25"/>
      <c r="D22" s="20"/>
      <c r="E22" s="61"/>
      <c r="F22" s="59"/>
      <c r="G22" s="23"/>
      <c r="H22" s="62"/>
      <c r="I22" s="47"/>
      <c r="J22" s="68"/>
      <c r="K22" s="69"/>
      <c r="L22" s="17"/>
      <c r="M22" s="47"/>
      <c r="N22" s="24"/>
      <c r="O22" s="47"/>
      <c r="P22" s="48"/>
      <c r="Q22" s="57"/>
    </row>
    <row r="23" spans="1:17">
      <c r="B23" s="18"/>
      <c r="C23" s="25"/>
      <c r="D23" s="20"/>
      <c r="E23" s="61"/>
      <c r="F23" s="59"/>
      <c r="G23" s="23"/>
      <c r="H23" s="62"/>
      <c r="I23" s="47"/>
      <c r="J23" s="68"/>
      <c r="K23" s="69"/>
      <c r="L23" s="17"/>
      <c r="M23" s="47"/>
      <c r="N23" s="24"/>
      <c r="O23" s="47"/>
      <c r="P23" s="48"/>
      <c r="Q23" s="57"/>
    </row>
    <row r="24" spans="1:17">
      <c r="B24" s="18"/>
      <c r="C24" s="26"/>
      <c r="D24" s="20"/>
      <c r="E24" s="61"/>
      <c r="F24" s="63"/>
      <c r="G24" s="23"/>
      <c r="H24" s="62"/>
      <c r="I24" s="47"/>
      <c r="J24" s="17"/>
      <c r="K24" s="47"/>
      <c r="L24" s="17"/>
      <c r="M24" s="47"/>
      <c r="N24" s="24"/>
      <c r="O24" s="47"/>
      <c r="P24" s="48"/>
      <c r="Q24" s="57"/>
    </row>
    <row r="25" spans="1:17">
      <c r="B25" s="18"/>
      <c r="C25" s="64"/>
      <c r="D25" s="18"/>
      <c r="E25" s="18"/>
      <c r="F25" s="63"/>
      <c r="G25" s="23"/>
      <c r="H25" s="62"/>
      <c r="I25" s="69"/>
      <c r="J25" s="68"/>
      <c r="K25" s="47"/>
      <c r="L25" s="17"/>
      <c r="M25" s="47"/>
      <c r="N25" s="24"/>
      <c r="O25" s="47"/>
      <c r="P25" s="48"/>
      <c r="Q25" s="57"/>
    </row>
    <row r="26" spans="1:17">
      <c r="B26" s="18"/>
      <c r="C26" s="19"/>
      <c r="D26" s="20"/>
      <c r="E26" s="27"/>
      <c r="F26" s="65"/>
      <c r="G26" s="23"/>
      <c r="H26" s="24"/>
      <c r="I26" s="47"/>
      <c r="J26" s="17"/>
      <c r="K26" s="47"/>
      <c r="L26" s="17"/>
      <c r="M26" s="47"/>
      <c r="N26" s="24"/>
      <c r="O26" s="47"/>
      <c r="P26" s="48"/>
      <c r="Q26" s="57"/>
    </row>
    <row r="27" spans="1:17">
      <c r="B27" s="18"/>
      <c r="C27" s="19"/>
      <c r="D27" s="20"/>
      <c r="E27" s="27"/>
      <c r="F27" s="65"/>
      <c r="G27" s="23"/>
      <c r="H27" s="24"/>
      <c r="I27" s="47"/>
      <c r="J27" s="17"/>
      <c r="K27" s="47"/>
      <c r="L27" s="17"/>
      <c r="M27" s="47"/>
      <c r="N27" s="24"/>
      <c r="O27" s="47"/>
      <c r="P27" s="48"/>
      <c r="Q27" s="57"/>
    </row>
    <row r="28" spans="1:17">
      <c r="B28" s="18"/>
      <c r="C28" s="19"/>
      <c r="D28" s="20"/>
      <c r="E28" s="27"/>
      <c r="F28" s="66"/>
      <c r="G28" s="23"/>
      <c r="H28" s="24"/>
      <c r="I28" s="47"/>
      <c r="J28" s="17"/>
      <c r="K28" s="47"/>
      <c r="L28" s="17"/>
      <c r="M28" s="47"/>
      <c r="N28" s="24"/>
      <c r="O28" s="47"/>
      <c r="P28" s="48"/>
      <c r="Q28" s="57"/>
    </row>
    <row r="29" spans="1:17">
      <c r="B29" s="29"/>
      <c r="C29" s="30"/>
      <c r="D29" s="31"/>
      <c r="E29" s="32"/>
      <c r="F29" s="31"/>
      <c r="G29" s="33">
        <f t="shared" ref="G29:Q29" si="1">SUM(G8:G28)</f>
        <v>0</v>
      </c>
      <c r="H29" s="34">
        <f t="shared" si="1"/>
        <v>0</v>
      </c>
      <c r="I29" s="50">
        <f t="shared" si="1"/>
        <v>0</v>
      </c>
      <c r="J29" s="51">
        <f t="shared" si="1"/>
        <v>3300</v>
      </c>
      <c r="K29" s="52">
        <f t="shared" si="1"/>
        <v>890775.24</v>
      </c>
      <c r="L29" s="53">
        <f t="shared" si="1"/>
        <v>0</v>
      </c>
      <c r="M29" s="54">
        <f t="shared" si="1"/>
        <v>0</v>
      </c>
      <c r="N29" s="55">
        <f t="shared" si="1"/>
        <v>0</v>
      </c>
      <c r="O29" s="55">
        <f t="shared" si="1"/>
        <v>8400</v>
      </c>
      <c r="P29" s="34">
        <f t="shared" si="1"/>
        <v>0</v>
      </c>
      <c r="Q29" s="58">
        <f t="shared" si="1"/>
        <v>0</v>
      </c>
    </row>
    <row r="30" spans="1:17">
      <c r="A30" s="6"/>
    </row>
    <row r="31" spans="1:17">
      <c r="A31" s="6"/>
    </row>
    <row r="32" spans="1:17">
      <c r="A32" s="6"/>
    </row>
    <row r="33" spans="1:22">
      <c r="A33" s="6"/>
    </row>
    <row r="34" spans="1:22">
      <c r="A34" s="6"/>
    </row>
    <row r="35" spans="1:22" s="2" customFormat="1">
      <c r="A35" s="6"/>
      <c r="B35" s="3"/>
      <c r="C35"/>
      <c r="D35" s="1"/>
      <c r="E35"/>
      <c r="F35" s="4"/>
      <c r="G35" s="5"/>
      <c r="H35"/>
      <c r="I35" s="6"/>
      <c r="J35" s="1"/>
      <c r="K35" s="1"/>
      <c r="L35" s="1"/>
      <c r="M35" s="1"/>
      <c r="N35" s="1"/>
      <c r="O35" s="1"/>
      <c r="P35" s="7"/>
      <c r="Q35" s="1"/>
      <c r="R35"/>
      <c r="S35"/>
      <c r="T35"/>
      <c r="U35"/>
      <c r="V35"/>
    </row>
  </sheetData>
  <mergeCells count="29">
    <mergeCell ref="I5:I6"/>
    <mergeCell ref="J5:J6"/>
    <mergeCell ref="K5:K6"/>
    <mergeCell ref="Q5:Q6"/>
    <mergeCell ref="L5:L6"/>
    <mergeCell ref="M5:M6"/>
    <mergeCell ref="N5:N6"/>
    <mergeCell ref="O5:O6"/>
    <mergeCell ref="P5:P6"/>
    <mergeCell ref="B5:C5"/>
    <mergeCell ref="D5:E5"/>
    <mergeCell ref="C1:C2"/>
    <mergeCell ref="G5:G6"/>
    <mergeCell ref="H5:H6"/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F3:F4"/>
    <mergeCell ref="G3:G4"/>
    <mergeCell ref="B4:C4"/>
    <mergeCell ref="D4:E4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34998626667073579"/>
  </sheetPr>
  <dimension ref="A1:V37"/>
  <sheetViews>
    <sheetView zoomScale="85" zoomScaleNormal="85" workbookViewId="0">
      <pane xSplit="5" ySplit="7" topLeftCell="F8" activePane="bottomRight" state="frozen"/>
      <selection pane="topRight"/>
      <selection pane="bottomLeft"/>
      <selection pane="bottomRight" activeCell="B10" sqref="B10"/>
    </sheetView>
  </sheetViews>
  <sheetFormatPr defaultColWidth="9" defaultRowHeight="14.4"/>
  <cols>
    <col min="1" max="1" width="1.33203125" customWidth="1"/>
    <col min="2" max="2" width="5.6640625" style="3" customWidth="1"/>
    <col min="3" max="3" width="53.5546875" customWidth="1"/>
    <col min="4" max="4" width="8.44140625" style="1" customWidth="1"/>
    <col min="5" max="5" width="11.33203125" customWidth="1"/>
    <col min="6" max="6" width="18.44140625" style="4" customWidth="1"/>
    <col min="7" max="7" width="12.88671875" style="5" customWidth="1"/>
    <col min="8" max="8" width="17.6640625" customWidth="1"/>
    <col min="9" max="9" width="17.109375" style="6" customWidth="1"/>
    <col min="10" max="10" width="14.33203125" style="1" customWidth="1"/>
    <col min="11" max="11" width="19.109375" style="1" customWidth="1"/>
    <col min="12" max="12" width="11.6640625" style="1" customWidth="1"/>
    <col min="13" max="13" width="15.6640625" style="1" customWidth="1"/>
    <col min="14" max="14" width="13.6640625" style="1" customWidth="1"/>
    <col min="15" max="15" width="17.109375" style="1" customWidth="1"/>
    <col min="16" max="16" width="11.6640625" style="7" customWidth="1"/>
    <col min="17" max="17" width="22.33203125" style="1" customWidth="1"/>
    <col min="18" max="18" width="2.44140625" customWidth="1"/>
  </cols>
  <sheetData>
    <row r="1" spans="2:17">
      <c r="B1" s="8"/>
      <c r="C1" s="120" t="s">
        <v>68</v>
      </c>
      <c r="D1" s="9"/>
      <c r="E1" s="10"/>
      <c r="F1" s="11"/>
      <c r="G1" s="12"/>
      <c r="H1" s="10"/>
      <c r="I1" s="35"/>
      <c r="J1" s="9"/>
      <c r="K1" s="9"/>
      <c r="L1" s="9"/>
      <c r="M1" s="9"/>
      <c r="N1" s="9"/>
      <c r="O1" s="9"/>
      <c r="P1" s="36"/>
      <c r="Q1" s="9"/>
    </row>
    <row r="2" spans="2:17">
      <c r="B2" s="8"/>
      <c r="C2" s="109"/>
      <c r="D2" s="9"/>
      <c r="E2" s="10"/>
      <c r="F2" s="11"/>
      <c r="G2" s="12"/>
      <c r="H2" s="11"/>
      <c r="I2" s="37"/>
      <c r="J2" s="86"/>
      <c r="K2" s="86"/>
      <c r="L2" s="86"/>
      <c r="M2" s="86"/>
      <c r="N2" s="87"/>
      <c r="O2" s="87"/>
      <c r="P2" s="86"/>
      <c r="Q2" s="86"/>
    </row>
    <row r="3" spans="2:17">
      <c r="B3" s="88" t="s">
        <v>1</v>
      </c>
      <c r="C3" s="89"/>
      <c r="D3" s="90">
        <f>I5+K5+M5+O5+Q5</f>
        <v>1500</v>
      </c>
      <c r="E3" s="91"/>
      <c r="F3" s="98">
        <f>D3+D4</f>
        <v>1500</v>
      </c>
      <c r="G3" s="100" t="s">
        <v>2</v>
      </c>
      <c r="H3" s="92" t="s">
        <v>3</v>
      </c>
      <c r="I3" s="92"/>
      <c r="J3" s="93" t="s">
        <v>4</v>
      </c>
      <c r="K3" s="93"/>
      <c r="L3" s="94" t="s">
        <v>5</v>
      </c>
      <c r="M3" s="94"/>
      <c r="N3" s="95" t="s">
        <v>6</v>
      </c>
      <c r="O3" s="96"/>
      <c r="P3" s="97" t="s">
        <v>7</v>
      </c>
      <c r="Q3" s="97"/>
    </row>
    <row r="4" spans="2:17">
      <c r="B4" s="101" t="s">
        <v>8</v>
      </c>
      <c r="C4" s="102"/>
      <c r="D4" s="103">
        <f>H5+J5+L5+N5+P5</f>
        <v>0</v>
      </c>
      <c r="E4" s="104"/>
      <c r="F4" s="99"/>
      <c r="G4" s="100"/>
      <c r="H4" s="13" t="s">
        <v>9</v>
      </c>
      <c r="I4" s="38" t="s">
        <v>10</v>
      </c>
      <c r="J4" s="39" t="s">
        <v>9</v>
      </c>
      <c r="K4" s="40" t="s">
        <v>10</v>
      </c>
      <c r="L4" s="41" t="s">
        <v>9</v>
      </c>
      <c r="M4" s="42" t="s">
        <v>10</v>
      </c>
      <c r="N4" s="43" t="s">
        <v>9</v>
      </c>
      <c r="O4" s="44" t="s">
        <v>10</v>
      </c>
      <c r="P4" s="45" t="s">
        <v>9</v>
      </c>
      <c r="Q4" s="56" t="s">
        <v>10</v>
      </c>
    </row>
    <row r="5" spans="2:17">
      <c r="B5" s="105" t="s">
        <v>11</v>
      </c>
      <c r="C5" s="106"/>
      <c r="D5" s="107">
        <f>G5</f>
        <v>0</v>
      </c>
      <c r="E5" s="108"/>
      <c r="F5" s="11"/>
      <c r="G5" s="110">
        <f t="shared" ref="G5:Q5" si="0">G31</f>
        <v>0</v>
      </c>
      <c r="H5" s="112">
        <f t="shared" si="0"/>
        <v>0</v>
      </c>
      <c r="I5" s="114">
        <f t="shared" si="0"/>
        <v>0</v>
      </c>
      <c r="J5" s="112">
        <f t="shared" si="0"/>
        <v>0</v>
      </c>
      <c r="K5" s="114">
        <f t="shared" si="0"/>
        <v>1500</v>
      </c>
      <c r="L5" s="112">
        <f t="shared" si="0"/>
        <v>0</v>
      </c>
      <c r="M5" s="114">
        <f t="shared" si="0"/>
        <v>0</v>
      </c>
      <c r="N5" s="116">
        <f t="shared" si="0"/>
        <v>0</v>
      </c>
      <c r="O5" s="118">
        <f t="shared" si="0"/>
        <v>0</v>
      </c>
      <c r="P5" s="112">
        <f t="shared" si="0"/>
        <v>0</v>
      </c>
      <c r="Q5" s="114">
        <f t="shared" si="0"/>
        <v>0</v>
      </c>
    </row>
    <row r="6" spans="2:17" s="1" customFormat="1" ht="4.5" customHeight="1">
      <c r="B6" s="8"/>
      <c r="C6" s="9"/>
      <c r="D6" s="9"/>
      <c r="E6" s="10"/>
      <c r="F6" s="11"/>
      <c r="G6" s="111"/>
      <c r="H6" s="113"/>
      <c r="I6" s="115"/>
      <c r="J6" s="113"/>
      <c r="K6" s="115"/>
      <c r="L6" s="113"/>
      <c r="M6" s="115"/>
      <c r="N6" s="117"/>
      <c r="O6" s="119"/>
      <c r="P6" s="113"/>
      <c r="Q6" s="115"/>
    </row>
    <row r="7" spans="2:17" s="1" customFormat="1">
      <c r="B7" s="14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16" t="s">
        <v>17</v>
      </c>
      <c r="H7" s="17" t="s">
        <v>9</v>
      </c>
      <c r="I7" s="46" t="s">
        <v>10</v>
      </c>
      <c r="J7" s="17" t="s">
        <v>9</v>
      </c>
      <c r="K7" s="46" t="s">
        <v>10</v>
      </c>
      <c r="L7" s="17" t="s">
        <v>9</v>
      </c>
      <c r="M7" s="46" t="s">
        <v>10</v>
      </c>
      <c r="N7" s="17" t="s">
        <v>9</v>
      </c>
      <c r="O7" s="46" t="s">
        <v>10</v>
      </c>
      <c r="P7" s="17" t="s">
        <v>9</v>
      </c>
      <c r="Q7" s="46" t="s">
        <v>10</v>
      </c>
    </row>
    <row r="8" spans="2:17">
      <c r="B8" s="18"/>
      <c r="C8" s="19"/>
      <c r="D8" s="20"/>
      <c r="E8" s="21"/>
      <c r="F8" s="22"/>
      <c r="G8" s="23"/>
      <c r="H8" s="24"/>
      <c r="I8" s="47"/>
      <c r="J8" s="17"/>
      <c r="K8" s="47"/>
      <c r="L8" s="17"/>
      <c r="M8" s="47"/>
      <c r="N8" s="48"/>
      <c r="O8" s="49"/>
      <c r="P8" s="48"/>
      <c r="Q8" s="57"/>
    </row>
    <row r="9" spans="2:17">
      <c r="B9" s="18">
        <v>46118</v>
      </c>
      <c r="C9" s="25" t="s">
        <v>74</v>
      </c>
      <c r="D9" s="20" t="s">
        <v>19</v>
      </c>
      <c r="E9" s="21"/>
      <c r="F9" s="22"/>
      <c r="G9" s="23"/>
      <c r="H9" s="24"/>
      <c r="I9" s="47"/>
      <c r="J9" s="17"/>
      <c r="K9" s="47">
        <v>1500</v>
      </c>
      <c r="L9" s="17"/>
      <c r="M9" s="47"/>
      <c r="N9" s="48"/>
      <c r="O9" s="49"/>
      <c r="P9" s="48"/>
      <c r="Q9" s="57"/>
    </row>
    <row r="10" spans="2:17">
      <c r="B10" s="18"/>
      <c r="C10" s="25"/>
      <c r="D10" s="20"/>
      <c r="E10" s="21"/>
      <c r="F10" s="22"/>
      <c r="G10" s="23"/>
      <c r="H10" s="24"/>
      <c r="I10" s="47"/>
      <c r="J10" s="17"/>
      <c r="K10" s="47"/>
      <c r="L10" s="17"/>
      <c r="M10" s="47"/>
      <c r="N10" s="48"/>
      <c r="O10" s="49"/>
      <c r="P10" s="48"/>
      <c r="Q10" s="57"/>
    </row>
    <row r="11" spans="2:17">
      <c r="B11" s="18"/>
      <c r="C11" s="25"/>
      <c r="D11" s="20"/>
      <c r="E11" s="21"/>
      <c r="F11" s="22"/>
      <c r="G11" s="23"/>
      <c r="H11" s="24"/>
      <c r="I11" s="47"/>
      <c r="J11" s="17"/>
      <c r="K11" s="47"/>
      <c r="L11" s="17"/>
      <c r="M11" s="47"/>
      <c r="N11" s="48"/>
      <c r="O11" s="49"/>
      <c r="P11" s="48"/>
      <c r="Q11" s="57"/>
    </row>
    <row r="12" spans="2:17">
      <c r="B12" s="18"/>
      <c r="C12" s="25"/>
      <c r="D12" s="20"/>
      <c r="E12" s="21"/>
      <c r="F12" s="22"/>
      <c r="G12" s="23"/>
      <c r="H12" s="24"/>
      <c r="I12" s="47"/>
      <c r="J12" s="17"/>
      <c r="K12" s="47"/>
      <c r="L12" s="17"/>
      <c r="M12" s="47"/>
      <c r="N12" s="48"/>
      <c r="O12" s="49"/>
      <c r="P12" s="48"/>
      <c r="Q12" s="57"/>
    </row>
    <row r="13" spans="2:17">
      <c r="B13" s="18"/>
      <c r="C13" s="25"/>
      <c r="D13" s="20"/>
      <c r="E13" s="21"/>
      <c r="F13" s="22"/>
      <c r="G13" s="23"/>
      <c r="H13" s="24"/>
      <c r="I13" s="47"/>
      <c r="J13" s="17"/>
      <c r="K13" s="47"/>
      <c r="L13" s="17"/>
      <c r="M13" s="47"/>
      <c r="N13" s="48"/>
      <c r="O13" s="49"/>
      <c r="P13" s="48"/>
      <c r="Q13" s="57"/>
    </row>
    <row r="14" spans="2:17">
      <c r="B14" s="18"/>
      <c r="C14" s="25"/>
      <c r="D14" s="20"/>
      <c r="E14" s="21"/>
      <c r="F14" s="22"/>
      <c r="G14" s="23"/>
      <c r="H14" s="24"/>
      <c r="I14" s="47"/>
      <c r="J14" s="17"/>
      <c r="K14" s="47"/>
      <c r="L14" s="17"/>
      <c r="M14" s="47"/>
      <c r="N14" s="48"/>
      <c r="O14" s="49"/>
      <c r="P14" s="48"/>
      <c r="Q14" s="57"/>
    </row>
    <row r="15" spans="2:17">
      <c r="B15" s="18"/>
      <c r="C15" s="19"/>
      <c r="D15" s="20"/>
      <c r="E15" s="21"/>
      <c r="F15" s="22"/>
      <c r="G15" s="23"/>
      <c r="H15" s="24"/>
      <c r="I15" s="47"/>
      <c r="J15" s="17"/>
      <c r="K15" s="47"/>
      <c r="L15" s="17"/>
      <c r="M15" s="47"/>
      <c r="N15" s="48"/>
      <c r="O15" s="49"/>
      <c r="P15" s="48"/>
      <c r="Q15" s="57"/>
    </row>
    <row r="16" spans="2:17">
      <c r="B16" s="18"/>
      <c r="C16" s="25"/>
      <c r="D16" s="20"/>
      <c r="E16" s="21"/>
      <c r="F16" s="22"/>
      <c r="G16" s="23"/>
      <c r="H16" s="24"/>
      <c r="I16" s="47"/>
      <c r="J16" s="17"/>
      <c r="K16" s="47"/>
      <c r="L16" s="17"/>
      <c r="M16" s="47"/>
      <c r="N16" s="48"/>
      <c r="O16" s="49"/>
      <c r="P16" s="48"/>
      <c r="Q16" s="57"/>
    </row>
    <row r="17" spans="1:17">
      <c r="B17" s="18"/>
      <c r="C17" s="26"/>
      <c r="D17" s="20"/>
      <c r="E17" s="21"/>
      <c r="F17" s="22"/>
      <c r="G17" s="23"/>
      <c r="H17" s="24"/>
      <c r="I17" s="47"/>
      <c r="J17" s="17"/>
      <c r="K17" s="47"/>
      <c r="L17" s="17"/>
      <c r="M17" s="47"/>
      <c r="N17" s="48"/>
      <c r="O17" s="49"/>
      <c r="P17" s="48"/>
      <c r="Q17" s="57"/>
    </row>
    <row r="18" spans="1:17">
      <c r="B18" s="18"/>
      <c r="C18" s="19"/>
      <c r="D18" s="20"/>
      <c r="E18" s="21"/>
      <c r="F18" s="22"/>
      <c r="G18" s="23"/>
      <c r="H18" s="24"/>
      <c r="I18" s="47"/>
      <c r="J18" s="17"/>
      <c r="K18" s="47"/>
      <c r="L18" s="17"/>
      <c r="M18" s="47"/>
      <c r="N18" s="48"/>
      <c r="O18" s="49"/>
      <c r="P18" s="48"/>
      <c r="Q18" s="57"/>
    </row>
    <row r="19" spans="1:17">
      <c r="B19" s="18"/>
      <c r="C19" s="19"/>
      <c r="D19" s="20"/>
      <c r="E19" s="27"/>
      <c r="F19" s="22"/>
      <c r="G19" s="23"/>
      <c r="H19" s="28"/>
      <c r="I19" s="47"/>
      <c r="J19" s="17"/>
      <c r="K19" s="47"/>
      <c r="L19" s="17"/>
      <c r="M19" s="47"/>
      <c r="N19" s="48"/>
      <c r="O19" s="49"/>
      <c r="P19" s="48"/>
      <c r="Q19" s="57"/>
    </row>
    <row r="20" spans="1:17">
      <c r="B20" s="18"/>
      <c r="C20" s="25"/>
      <c r="D20" s="20"/>
      <c r="E20" s="27"/>
      <c r="F20" s="22"/>
      <c r="G20" s="23"/>
      <c r="H20" s="28"/>
      <c r="I20" s="47"/>
      <c r="J20" s="17"/>
      <c r="K20" s="47"/>
      <c r="L20" s="17"/>
      <c r="M20" s="47"/>
      <c r="N20" s="48"/>
      <c r="O20" s="49"/>
      <c r="P20" s="48"/>
      <c r="Q20" s="57"/>
    </row>
    <row r="21" spans="1:17">
      <c r="B21" s="18"/>
      <c r="C21" s="25"/>
      <c r="D21" s="20"/>
      <c r="E21" s="27"/>
      <c r="F21" s="22"/>
      <c r="G21" s="23"/>
      <c r="H21" s="28"/>
      <c r="I21" s="47"/>
      <c r="J21" s="17"/>
      <c r="K21" s="47"/>
      <c r="L21" s="17"/>
      <c r="M21" s="47"/>
      <c r="N21" s="48"/>
      <c r="O21" s="49"/>
      <c r="P21" s="48"/>
      <c r="Q21" s="57"/>
    </row>
    <row r="22" spans="1:17">
      <c r="B22" s="18"/>
      <c r="C22" s="25"/>
      <c r="D22" s="20"/>
      <c r="E22" s="27"/>
      <c r="F22" s="22"/>
      <c r="G22" s="23"/>
      <c r="H22" s="28"/>
      <c r="I22" s="47"/>
      <c r="J22" s="17"/>
      <c r="K22" s="47"/>
      <c r="L22" s="17"/>
      <c r="M22" s="47"/>
      <c r="N22" s="48"/>
      <c r="O22" s="49"/>
      <c r="P22" s="48"/>
      <c r="Q22" s="57"/>
    </row>
    <row r="23" spans="1:17">
      <c r="B23" s="18"/>
      <c r="C23" s="25"/>
      <c r="D23" s="20"/>
      <c r="E23" s="27"/>
      <c r="F23" s="22"/>
      <c r="G23" s="23"/>
      <c r="H23" s="28"/>
      <c r="I23" s="47"/>
      <c r="J23" s="17"/>
      <c r="K23" s="47"/>
      <c r="L23" s="17"/>
      <c r="M23" s="47"/>
      <c r="N23" s="48"/>
      <c r="O23" s="49"/>
      <c r="P23" s="48"/>
      <c r="Q23" s="57"/>
    </row>
    <row r="24" spans="1:17">
      <c r="B24" s="18"/>
      <c r="C24" s="25"/>
      <c r="D24" s="20"/>
      <c r="E24" s="27"/>
      <c r="F24" s="22"/>
      <c r="G24" s="23"/>
      <c r="H24" s="28"/>
      <c r="I24" s="47"/>
      <c r="J24" s="17"/>
      <c r="K24" s="47"/>
      <c r="L24" s="17"/>
      <c r="M24" s="47"/>
      <c r="N24" s="48"/>
      <c r="O24" s="49"/>
      <c r="P24" s="48"/>
      <c r="Q24" s="57"/>
    </row>
    <row r="25" spans="1:17">
      <c r="B25" s="18"/>
      <c r="C25" s="25"/>
      <c r="D25" s="20"/>
      <c r="E25" s="27"/>
      <c r="F25" s="22"/>
      <c r="G25" s="23"/>
      <c r="H25" s="28"/>
      <c r="I25" s="47"/>
      <c r="J25" s="17"/>
      <c r="K25" s="47"/>
      <c r="L25" s="17"/>
      <c r="M25" s="47"/>
      <c r="N25" s="48"/>
      <c r="O25" s="49"/>
      <c r="P25" s="48"/>
      <c r="Q25" s="57"/>
    </row>
    <row r="26" spans="1:17">
      <c r="B26" s="18"/>
      <c r="C26" s="25"/>
      <c r="D26" s="20"/>
      <c r="E26" s="27"/>
      <c r="F26" s="22"/>
      <c r="G26" s="23"/>
      <c r="H26" s="28"/>
      <c r="I26" s="47"/>
      <c r="J26" s="17"/>
      <c r="K26" s="47"/>
      <c r="L26" s="17"/>
      <c r="M26" s="47"/>
      <c r="N26" s="48"/>
      <c r="O26" s="49"/>
      <c r="P26" s="48"/>
      <c r="Q26" s="57"/>
    </row>
    <row r="27" spans="1:17">
      <c r="B27" s="18"/>
      <c r="C27" s="26"/>
      <c r="D27" s="20"/>
      <c r="E27" s="27"/>
      <c r="F27" s="22"/>
      <c r="G27" s="23"/>
      <c r="H27" s="28"/>
      <c r="I27" s="47"/>
      <c r="J27" s="17"/>
      <c r="K27" s="47"/>
      <c r="L27" s="17"/>
      <c r="M27" s="47"/>
      <c r="N27" s="48"/>
      <c r="O27" s="49"/>
      <c r="P27" s="48"/>
      <c r="Q27" s="57"/>
    </row>
    <row r="28" spans="1:17">
      <c r="B28" s="18"/>
      <c r="C28" s="26"/>
      <c r="D28" s="20"/>
      <c r="E28" s="27"/>
      <c r="F28" s="22"/>
      <c r="G28" s="23"/>
      <c r="H28" s="28"/>
      <c r="I28" s="47"/>
      <c r="J28" s="17"/>
      <c r="K28" s="47"/>
      <c r="L28" s="17"/>
      <c r="M28" s="47"/>
      <c r="N28" s="48"/>
      <c r="O28" s="49"/>
      <c r="P28" s="48"/>
      <c r="Q28" s="57"/>
    </row>
    <row r="29" spans="1:17">
      <c r="B29" s="18"/>
      <c r="C29" s="19"/>
      <c r="D29" s="20"/>
      <c r="E29" s="27"/>
      <c r="F29" s="22"/>
      <c r="G29" s="23"/>
      <c r="H29" s="28"/>
      <c r="I29" s="47"/>
      <c r="J29" s="17"/>
      <c r="K29" s="47"/>
      <c r="L29" s="17"/>
      <c r="M29" s="47"/>
      <c r="N29" s="48"/>
      <c r="O29" s="49"/>
      <c r="P29" s="48"/>
      <c r="Q29" s="57"/>
    </row>
    <row r="30" spans="1:17">
      <c r="B30" s="18"/>
      <c r="C30" s="19"/>
      <c r="D30" s="20"/>
      <c r="E30" s="27"/>
      <c r="F30" s="22"/>
      <c r="G30" s="23"/>
      <c r="H30" s="28"/>
      <c r="I30" s="47"/>
      <c r="J30" s="17"/>
      <c r="K30" s="47"/>
      <c r="L30" s="17"/>
      <c r="M30" s="47"/>
      <c r="N30" s="48"/>
      <c r="O30" s="49"/>
      <c r="P30" s="48"/>
      <c r="Q30" s="57"/>
    </row>
    <row r="31" spans="1:17">
      <c r="B31" s="29"/>
      <c r="C31" s="30"/>
      <c r="D31" s="31"/>
      <c r="E31" s="32"/>
      <c r="F31" s="31"/>
      <c r="G31" s="33">
        <f t="shared" ref="G31:Q31" si="1">SUM(G8:G30)</f>
        <v>0</v>
      </c>
      <c r="H31" s="34">
        <f t="shared" si="1"/>
        <v>0</v>
      </c>
      <c r="I31" s="50">
        <f t="shared" si="1"/>
        <v>0</v>
      </c>
      <c r="J31" s="51">
        <f t="shared" si="1"/>
        <v>0</v>
      </c>
      <c r="K31" s="52">
        <f t="shared" si="1"/>
        <v>1500</v>
      </c>
      <c r="L31" s="53">
        <f t="shared" si="1"/>
        <v>0</v>
      </c>
      <c r="M31" s="54">
        <f t="shared" si="1"/>
        <v>0</v>
      </c>
      <c r="N31" s="55">
        <f t="shared" si="1"/>
        <v>0</v>
      </c>
      <c r="O31" s="55">
        <f t="shared" si="1"/>
        <v>0</v>
      </c>
      <c r="P31" s="34">
        <f t="shared" si="1"/>
        <v>0</v>
      </c>
      <c r="Q31" s="58">
        <f t="shared" si="1"/>
        <v>0</v>
      </c>
    </row>
    <row r="32" spans="1:17">
      <c r="A32" s="6"/>
    </row>
    <row r="33" spans="1:22">
      <c r="A33" s="6"/>
    </row>
    <row r="34" spans="1:22">
      <c r="A34" s="6"/>
    </row>
    <row r="35" spans="1:22">
      <c r="A35" s="6"/>
    </row>
    <row r="36" spans="1:22">
      <c r="A36" s="6"/>
    </row>
    <row r="37" spans="1:22" s="2" customFormat="1">
      <c r="A37" s="6"/>
      <c r="B37" s="3"/>
      <c r="C37"/>
      <c r="D37" s="1"/>
      <c r="E37"/>
      <c r="F37" s="4"/>
      <c r="G37" s="5"/>
      <c r="H37"/>
      <c r="I37" s="6"/>
      <c r="J37" s="1"/>
      <c r="K37" s="1"/>
      <c r="L37" s="1"/>
      <c r="M37" s="1"/>
      <c r="N37" s="1"/>
      <c r="O37" s="1"/>
      <c r="P37" s="7"/>
      <c r="Q37" s="1"/>
      <c r="R37"/>
      <c r="S37"/>
      <c r="T37"/>
      <c r="U37"/>
      <c r="V37"/>
    </row>
  </sheetData>
  <mergeCells count="29">
    <mergeCell ref="I5:I6"/>
    <mergeCell ref="J5:J6"/>
    <mergeCell ref="K5:K6"/>
    <mergeCell ref="Q5:Q6"/>
    <mergeCell ref="L5:L6"/>
    <mergeCell ref="M5:M6"/>
    <mergeCell ref="N5:N6"/>
    <mergeCell ref="O5:O6"/>
    <mergeCell ref="P5:P6"/>
    <mergeCell ref="B5:C5"/>
    <mergeCell ref="D5:E5"/>
    <mergeCell ref="C1:C2"/>
    <mergeCell ref="G5:G6"/>
    <mergeCell ref="H5:H6"/>
    <mergeCell ref="J2:K2"/>
    <mergeCell ref="L2:M2"/>
    <mergeCell ref="N2:O2"/>
    <mergeCell ref="P2:Q2"/>
    <mergeCell ref="B3:C3"/>
    <mergeCell ref="D3:E3"/>
    <mergeCell ref="H3:I3"/>
    <mergeCell ref="J3:K3"/>
    <mergeCell ref="L3:M3"/>
    <mergeCell ref="N3:O3"/>
    <mergeCell ref="P3:Q3"/>
    <mergeCell ref="F3:F4"/>
    <mergeCell ref="G3:G4"/>
    <mergeCell ref="B4:C4"/>
    <mergeCell ref="D4:E4"/>
  </mergeCells>
  <pageMargins left="0.511811024" right="0.511811024" top="0.78740157499999996" bottom="0.78740157499999996" header="0.31496062000000002" footer="0.31496062000000002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9"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5</vt:i4>
      </vt:variant>
    </vt:vector>
  </HeadingPairs>
  <TitlesOfParts>
    <vt:vector size="11" baseType="lpstr">
      <vt:lpstr>ATRASADOS</vt:lpstr>
      <vt:lpstr>01. JANEIRO</vt:lpstr>
      <vt:lpstr>02. FEVEREIRO</vt:lpstr>
      <vt:lpstr>03. MARCO</vt:lpstr>
      <vt:lpstr>04. ABRIL</vt:lpstr>
      <vt:lpstr>Planilha1</vt:lpstr>
      <vt:lpstr>'01. JANEIRO'!Area_de_impressao</vt:lpstr>
      <vt:lpstr>'02. FEVEREIRO'!Area_de_impressao</vt:lpstr>
      <vt:lpstr>'03. MARCO'!Area_de_impressao</vt:lpstr>
      <vt:lpstr>'04. ABRIL'!Area_de_impressao</vt:lpstr>
      <vt:lpstr>ATRASADOS!Area_de_impressao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Guilherme Borges</dc:creator>
  <cp:lastModifiedBy>ANDRE lerbach teixeira</cp:lastModifiedBy>
  <cp:lastPrinted>2025-11-17T17:15:00Z</cp:lastPrinted>
  <dcterms:created xsi:type="dcterms:W3CDTF">2023-01-02T03:38:00Z</dcterms:created>
  <dcterms:modified xsi:type="dcterms:W3CDTF">2026-03-17T13:01:30Z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2F7B08DDB3BE4F5092565BA0985C1A16_13</vt:lpwstr>
  </property>
  <property fmtid="{D5CDD505-2E9C-101B-9397-08002B2CF9AE}" pid="3" name="KSOProductBuildVer">
    <vt:lpwstr>1046-12.2.0.23196</vt:lpwstr>
  </property>
</Properties>
</file>